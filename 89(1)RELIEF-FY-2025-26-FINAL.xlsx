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95B32B1-56BA-4294-A5EC-B25877F6E380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Source_Data" sheetId="1" r:id="rId1"/>
    <sheet name="Relief_Calculation" sheetId="2" r:id="rId2"/>
    <sheet name="Form_10E" sheetId="3" r:id="rId3"/>
    <sheet name="Checks" sheetId="4" r:id="rId4"/>
    <sheet name="Tax_Rate_Assumptions" sheetId="5" r:id="rId5"/>
    <sheet name="Tax_Engine" sheetId="6" r:id="rId6"/>
    <sheet name="Tax_Regime_Comparison" sheetId="7" r:id="rId7"/>
  </sheets>
  <definedNames>
    <definedName name="_xlnm.Print_Area" localSheetId="2">Form_10E!$A$1:$H$35</definedName>
    <definedName name="_xlnm.Print_Area" localSheetId="1">Relief_Calculation!$A$1:$Q$27</definedName>
    <definedName name="_xlnm.Print_Area" localSheetId="0">Source_Data!$A$1:$I$19</definedName>
  </definedNames>
  <calcPr calcId="191029"/>
</workbook>
</file>

<file path=xl/calcChain.xml><?xml version="1.0" encoding="utf-8"?>
<calcChain xmlns="http://schemas.openxmlformats.org/spreadsheetml/2006/main">
  <c r="B20" i="7" l="1"/>
  <c r="B19" i="7"/>
  <c r="Q15" i="7"/>
  <c r="D15" i="7"/>
  <c r="C15" i="7"/>
  <c r="B15" i="7"/>
  <c r="A15" i="7"/>
  <c r="Q14" i="7"/>
  <c r="E14" i="7"/>
  <c r="D14" i="7"/>
  <c r="C14" i="7"/>
  <c r="B14" i="7"/>
  <c r="A14" i="7"/>
  <c r="E13" i="7"/>
  <c r="D13" i="7"/>
  <c r="C13" i="7"/>
  <c r="B13" i="7"/>
  <c r="A13" i="7"/>
  <c r="E12" i="7"/>
  <c r="D12" i="7"/>
  <c r="C12" i="7"/>
  <c r="B12" i="7"/>
  <c r="A12" i="7"/>
  <c r="Q12" i="7" s="1"/>
  <c r="E11" i="7"/>
  <c r="D11" i="7"/>
  <c r="C11" i="7"/>
  <c r="B11" i="7"/>
  <c r="A11" i="7"/>
  <c r="Q11" i="7" s="1"/>
  <c r="E10" i="7"/>
  <c r="D10" i="7"/>
  <c r="C10" i="7"/>
  <c r="B10" i="7"/>
  <c r="A10" i="7"/>
  <c r="Q10" i="7" s="1"/>
  <c r="O9" i="7"/>
  <c r="P9" i="7" s="1"/>
  <c r="N9" i="7"/>
  <c r="E9" i="7"/>
  <c r="D9" i="7"/>
  <c r="C9" i="7"/>
  <c r="B9" i="7"/>
  <c r="A9" i="7"/>
  <c r="Q9" i="7" s="1"/>
  <c r="O8" i="7"/>
  <c r="P8" i="7" s="1"/>
  <c r="E8" i="7"/>
  <c r="D8" i="7"/>
  <c r="C8" i="7"/>
  <c r="B8" i="7"/>
  <c r="A8" i="7"/>
  <c r="M8" i="7" s="1"/>
  <c r="E7" i="7"/>
  <c r="D7" i="7"/>
  <c r="C7" i="7"/>
  <c r="B7" i="7"/>
  <c r="A7" i="7"/>
  <c r="Q6" i="7"/>
  <c r="E6" i="7"/>
  <c r="D6" i="7"/>
  <c r="C6" i="7"/>
  <c r="B6" i="7"/>
  <c r="A6" i="7"/>
  <c r="M5" i="7"/>
  <c r="E5" i="7"/>
  <c r="D5" i="7"/>
  <c r="C5" i="7"/>
  <c r="B5" i="7"/>
  <c r="A5" i="7"/>
  <c r="O5" i="7" s="1"/>
  <c r="P5" i="7" s="1"/>
  <c r="N4" i="7"/>
  <c r="M4" i="7"/>
  <c r="E4" i="7"/>
  <c r="D4" i="7"/>
  <c r="C4" i="7"/>
  <c r="B4" i="7"/>
  <c r="A4" i="7"/>
  <c r="Q4" i="7" s="1"/>
  <c r="E43" i="6"/>
  <c r="G43" i="6" s="1"/>
  <c r="D43" i="6"/>
  <c r="C43" i="6"/>
  <c r="B43" i="6"/>
  <c r="A43" i="6"/>
  <c r="E42" i="6"/>
  <c r="D42" i="6"/>
  <c r="C42" i="6"/>
  <c r="B42" i="6"/>
  <c r="A42" i="6"/>
  <c r="I41" i="6"/>
  <c r="G41" i="6"/>
  <c r="E41" i="6"/>
  <c r="D41" i="6"/>
  <c r="C41" i="6"/>
  <c r="B41" i="6"/>
  <c r="A41" i="6"/>
  <c r="E40" i="6"/>
  <c r="I40" i="6" s="1"/>
  <c r="D40" i="6"/>
  <c r="C40" i="6"/>
  <c r="B40" i="6"/>
  <c r="A40" i="6"/>
  <c r="E39" i="6"/>
  <c r="I39" i="6" s="1"/>
  <c r="D39" i="6"/>
  <c r="C39" i="6"/>
  <c r="B39" i="6"/>
  <c r="A39" i="6"/>
  <c r="E38" i="6"/>
  <c r="D38" i="6"/>
  <c r="C38" i="6"/>
  <c r="B38" i="6"/>
  <c r="G38" i="6" s="1"/>
  <c r="A38" i="6"/>
  <c r="E37" i="6"/>
  <c r="D37" i="6"/>
  <c r="C37" i="6"/>
  <c r="B37" i="6"/>
  <c r="A37" i="6"/>
  <c r="E36" i="6"/>
  <c r="D36" i="6"/>
  <c r="C36" i="6"/>
  <c r="B36" i="6"/>
  <c r="A36" i="6"/>
  <c r="G35" i="6"/>
  <c r="E35" i="6"/>
  <c r="D35" i="6"/>
  <c r="C35" i="6"/>
  <c r="H35" i="6" s="1"/>
  <c r="B35" i="6"/>
  <c r="I35" i="6" s="1"/>
  <c r="A35" i="6"/>
  <c r="H34" i="6"/>
  <c r="G34" i="6"/>
  <c r="E34" i="6"/>
  <c r="D34" i="6"/>
  <c r="C34" i="6"/>
  <c r="B34" i="6"/>
  <c r="A34" i="6"/>
  <c r="L33" i="6"/>
  <c r="G33" i="6"/>
  <c r="E33" i="6"/>
  <c r="I33" i="6" s="1"/>
  <c r="D33" i="6"/>
  <c r="C33" i="6"/>
  <c r="B33" i="6"/>
  <c r="A33" i="6"/>
  <c r="E32" i="6"/>
  <c r="D32" i="6"/>
  <c r="C32" i="6"/>
  <c r="B32" i="6"/>
  <c r="A32" i="6"/>
  <c r="E29" i="6"/>
  <c r="I29" i="6" s="1"/>
  <c r="D29" i="6"/>
  <c r="C29" i="6"/>
  <c r="B29" i="6"/>
  <c r="A29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B26" i="6"/>
  <c r="A26" i="6"/>
  <c r="E25" i="6"/>
  <c r="G25" i="6" s="1"/>
  <c r="D25" i="6"/>
  <c r="C25" i="6"/>
  <c r="B25" i="6"/>
  <c r="A25" i="6"/>
  <c r="E24" i="6"/>
  <c r="D24" i="6"/>
  <c r="C24" i="6"/>
  <c r="B24" i="6"/>
  <c r="A24" i="6"/>
  <c r="E23" i="6"/>
  <c r="D23" i="6"/>
  <c r="C23" i="6"/>
  <c r="B23" i="6"/>
  <c r="A23" i="6"/>
  <c r="E22" i="6"/>
  <c r="G22" i="6" s="1"/>
  <c r="H22" i="6" s="1"/>
  <c r="D22" i="6"/>
  <c r="C22" i="6"/>
  <c r="B22" i="6"/>
  <c r="A22" i="6"/>
  <c r="F21" i="6"/>
  <c r="N21" i="6" s="1"/>
  <c r="E21" i="6"/>
  <c r="D21" i="6"/>
  <c r="C21" i="6"/>
  <c r="B21" i="6"/>
  <c r="I21" i="6" s="1"/>
  <c r="A21" i="6"/>
  <c r="E20" i="6"/>
  <c r="D20" i="6"/>
  <c r="C20" i="6"/>
  <c r="B20" i="6"/>
  <c r="A20" i="6"/>
  <c r="E19" i="6"/>
  <c r="D19" i="6"/>
  <c r="C19" i="6"/>
  <c r="B19" i="6"/>
  <c r="A19" i="6"/>
  <c r="E18" i="6"/>
  <c r="D18" i="6"/>
  <c r="C18" i="6"/>
  <c r="B18" i="6"/>
  <c r="A18" i="6"/>
  <c r="E15" i="6"/>
  <c r="D15" i="6"/>
  <c r="C15" i="6"/>
  <c r="B15" i="6"/>
  <c r="A15" i="6"/>
  <c r="E14" i="6"/>
  <c r="D14" i="6"/>
  <c r="C14" i="6"/>
  <c r="B14" i="6"/>
  <c r="A14" i="6"/>
  <c r="E13" i="6"/>
  <c r="I13" i="6" s="1"/>
  <c r="I13" i="2" s="1"/>
  <c r="D13" i="6"/>
  <c r="C13" i="6"/>
  <c r="B13" i="6"/>
  <c r="A13" i="6"/>
  <c r="E12" i="6"/>
  <c r="I12" i="6" s="1"/>
  <c r="I12" i="2" s="1"/>
  <c r="D12" i="6"/>
  <c r="C12" i="6"/>
  <c r="B12" i="6"/>
  <c r="A12" i="6"/>
  <c r="E11" i="6"/>
  <c r="D11" i="6"/>
  <c r="C11" i="6"/>
  <c r="B11" i="6"/>
  <c r="A11" i="6"/>
  <c r="E10" i="6"/>
  <c r="D10" i="6"/>
  <c r="C10" i="6"/>
  <c r="B10" i="6"/>
  <c r="A10" i="6"/>
  <c r="E9" i="6"/>
  <c r="D9" i="6"/>
  <c r="C9" i="6"/>
  <c r="B9" i="6"/>
  <c r="A9" i="6"/>
  <c r="E8" i="6"/>
  <c r="D8" i="6"/>
  <c r="C8" i="6"/>
  <c r="B8" i="6"/>
  <c r="A8" i="6"/>
  <c r="E7" i="6"/>
  <c r="D7" i="6"/>
  <c r="C7" i="6"/>
  <c r="B7" i="6"/>
  <c r="A7" i="6"/>
  <c r="E6" i="6"/>
  <c r="D6" i="6"/>
  <c r="C6" i="6"/>
  <c r="B6" i="6"/>
  <c r="A6" i="6"/>
  <c r="E5" i="6"/>
  <c r="I5" i="6" s="1"/>
  <c r="I5" i="2" s="1"/>
  <c r="D5" i="6"/>
  <c r="C5" i="6"/>
  <c r="B5" i="6"/>
  <c r="A5" i="6"/>
  <c r="E4" i="6"/>
  <c r="I4" i="6" s="1"/>
  <c r="I4" i="2" s="1"/>
  <c r="D4" i="6"/>
  <c r="C4" i="6"/>
  <c r="B4" i="6"/>
  <c r="A4" i="6"/>
  <c r="B9" i="4"/>
  <c r="B8" i="4"/>
  <c r="A24" i="3"/>
  <c r="C23" i="3"/>
  <c r="B21" i="3"/>
  <c r="A18" i="3"/>
  <c r="C17" i="3"/>
  <c r="C16" i="3"/>
  <c r="B16" i="3"/>
  <c r="A16" i="3"/>
  <c r="A15" i="3"/>
  <c r="B8" i="3"/>
  <c r="B7" i="3"/>
  <c r="B6" i="3"/>
  <c r="B5" i="3"/>
  <c r="B4" i="3"/>
  <c r="B3" i="3"/>
  <c r="B21" i="2"/>
  <c r="B20" i="2"/>
  <c r="F15" i="2"/>
  <c r="E15" i="2"/>
  <c r="H25" i="3" s="1"/>
  <c r="B15" i="2"/>
  <c r="C25" i="3" s="1"/>
  <c r="A15" i="2"/>
  <c r="A25" i="3" s="1"/>
  <c r="F14" i="2"/>
  <c r="E14" i="2"/>
  <c r="H24" i="3" s="1"/>
  <c r="C14" i="2"/>
  <c r="B24" i="3" s="1"/>
  <c r="B14" i="2"/>
  <c r="C24" i="3" s="1"/>
  <c r="A14" i="2"/>
  <c r="F13" i="2"/>
  <c r="E13" i="2"/>
  <c r="H23" i="3" s="1"/>
  <c r="C13" i="2"/>
  <c r="B23" i="3" s="1"/>
  <c r="B13" i="2"/>
  <c r="A13" i="2"/>
  <c r="A23" i="3" s="1"/>
  <c r="F12" i="2"/>
  <c r="E12" i="2"/>
  <c r="H22" i="3" s="1"/>
  <c r="C12" i="2"/>
  <c r="B22" i="3" s="1"/>
  <c r="B12" i="2"/>
  <c r="C22" i="3" s="1"/>
  <c r="A12" i="2"/>
  <c r="A22" i="3" s="1"/>
  <c r="F11" i="2"/>
  <c r="E11" i="2"/>
  <c r="H21" i="3" s="1"/>
  <c r="C11" i="2"/>
  <c r="B11" i="2"/>
  <c r="C21" i="3" s="1"/>
  <c r="A11" i="2"/>
  <c r="A21" i="3" s="1"/>
  <c r="F10" i="2"/>
  <c r="E10" i="2"/>
  <c r="H20" i="3" s="1"/>
  <c r="C10" i="2"/>
  <c r="B20" i="3" s="1"/>
  <c r="B10" i="2"/>
  <c r="C20" i="3" s="1"/>
  <c r="A10" i="2"/>
  <c r="A20" i="3" s="1"/>
  <c r="F9" i="2"/>
  <c r="E9" i="2"/>
  <c r="D9" i="2"/>
  <c r="D19" i="3" s="1"/>
  <c r="C9" i="2"/>
  <c r="B19" i="3" s="1"/>
  <c r="B9" i="2"/>
  <c r="C19" i="3" s="1"/>
  <c r="A9" i="2"/>
  <c r="A19" i="3" s="1"/>
  <c r="F8" i="2"/>
  <c r="E8" i="2"/>
  <c r="C8" i="2"/>
  <c r="B18" i="3" s="1"/>
  <c r="B8" i="2"/>
  <c r="C18" i="3" s="1"/>
  <c r="A8" i="2"/>
  <c r="F7" i="2"/>
  <c r="E7" i="2"/>
  <c r="D7" i="2"/>
  <c r="D17" i="3" s="1"/>
  <c r="C7" i="2"/>
  <c r="B17" i="3" s="1"/>
  <c r="B7" i="2"/>
  <c r="A7" i="2"/>
  <c r="A17" i="3" s="1"/>
  <c r="F6" i="2"/>
  <c r="E6" i="2"/>
  <c r="C6" i="2"/>
  <c r="B6" i="2"/>
  <c r="A6" i="2"/>
  <c r="F5" i="2"/>
  <c r="E5" i="2"/>
  <c r="C5" i="2"/>
  <c r="B15" i="3" s="1"/>
  <c r="B5" i="2"/>
  <c r="C15" i="3" s="1"/>
  <c r="A5" i="2"/>
  <c r="F4" i="2"/>
  <c r="E4" i="2"/>
  <c r="C4" i="2"/>
  <c r="B14" i="3" s="1"/>
  <c r="B4" i="2"/>
  <c r="C14" i="3" s="1"/>
  <c r="A4" i="2"/>
  <c r="A14" i="3" s="1"/>
  <c r="C15" i="1"/>
  <c r="D14" i="1"/>
  <c r="F42" i="6" s="1"/>
  <c r="N42" i="6" s="1"/>
  <c r="D13" i="1"/>
  <c r="F41" i="6" s="1"/>
  <c r="N41" i="6" s="1"/>
  <c r="D12" i="1"/>
  <c r="F26" i="6" s="1"/>
  <c r="N26" i="6" s="1"/>
  <c r="D11" i="1"/>
  <c r="F11" i="7" s="1"/>
  <c r="D10" i="1"/>
  <c r="F38" i="6" s="1"/>
  <c r="D9" i="1"/>
  <c r="D8" i="1"/>
  <c r="D8" i="2" s="1"/>
  <c r="D18" i="3" s="1"/>
  <c r="I7" i="1"/>
  <c r="D7" i="1"/>
  <c r="F7" i="7" s="1"/>
  <c r="D6" i="1"/>
  <c r="F6" i="7" s="1"/>
  <c r="D5" i="1"/>
  <c r="F33" i="6" s="1"/>
  <c r="N33" i="6" s="1"/>
  <c r="D4" i="1"/>
  <c r="F18" i="6" s="1"/>
  <c r="L18" i="6" s="1"/>
  <c r="I18" i="6" l="1"/>
  <c r="G23" i="6"/>
  <c r="G40" i="6"/>
  <c r="H40" i="6" s="1"/>
  <c r="I43" i="6"/>
  <c r="J40" i="6"/>
  <c r="G4" i="6"/>
  <c r="G4" i="2" s="1"/>
  <c r="D4" i="2"/>
  <c r="D14" i="3" s="1"/>
  <c r="I32" i="6"/>
  <c r="G12" i="6"/>
  <c r="G12" i="2" s="1"/>
  <c r="I22" i="6"/>
  <c r="J22" i="6" s="1"/>
  <c r="K22" i="6" s="1"/>
  <c r="J8" i="7" s="1"/>
  <c r="F11" i="6"/>
  <c r="N11" i="6" s="1"/>
  <c r="N11" i="2" s="1"/>
  <c r="F14" i="6"/>
  <c r="L14" i="6" s="1"/>
  <c r="I25" i="6"/>
  <c r="I11" i="6"/>
  <c r="I11" i="2" s="1"/>
  <c r="I14" i="6"/>
  <c r="I14" i="2" s="1"/>
  <c r="G14" i="6"/>
  <c r="H14" i="6" s="1"/>
  <c r="H14" i="2" s="1"/>
  <c r="N14" i="6"/>
  <c r="N14" i="2" s="1"/>
  <c r="G42" i="6"/>
  <c r="H42" i="6" s="1"/>
  <c r="G10" i="6"/>
  <c r="I10" i="6" s="1"/>
  <c r="I10" i="2" s="1"/>
  <c r="I15" i="6"/>
  <c r="I15" i="2" s="1"/>
  <c r="G15" i="6"/>
  <c r="F8" i="7"/>
  <c r="F22" i="6"/>
  <c r="L22" i="6" s="1"/>
  <c r="F36" i="6"/>
  <c r="E15" i="7"/>
  <c r="B4" i="4"/>
  <c r="D4" i="4" s="1"/>
  <c r="C15" i="2"/>
  <c r="B25" i="3" s="1"/>
  <c r="L41" i="6"/>
  <c r="M41" i="6" s="1"/>
  <c r="K34" i="6"/>
  <c r="G37" i="6"/>
  <c r="L37" i="6"/>
  <c r="I8" i="1"/>
  <c r="D15" i="1"/>
  <c r="I6" i="6"/>
  <c r="I6" i="2" s="1"/>
  <c r="H6" i="6"/>
  <c r="H6" i="2" s="1"/>
  <c r="G6" i="6"/>
  <c r="M14" i="6"/>
  <c r="M14" i="2" s="1"/>
  <c r="H23" i="6"/>
  <c r="I23" i="6" s="1"/>
  <c r="F37" i="6"/>
  <c r="M37" i="6" s="1"/>
  <c r="F9" i="6"/>
  <c r="F9" i="7"/>
  <c r="F23" i="6"/>
  <c r="I7" i="6"/>
  <c r="I7" i="2" s="1"/>
  <c r="G7" i="6"/>
  <c r="F8" i="6"/>
  <c r="L8" i="6" s="1"/>
  <c r="H20" i="6"/>
  <c r="I20" i="6"/>
  <c r="G20" i="6"/>
  <c r="G26" i="6"/>
  <c r="L26" i="6"/>
  <c r="M26" i="6" s="1"/>
  <c r="I26" i="6"/>
  <c r="F4" i="7"/>
  <c r="F32" i="6"/>
  <c r="D10" i="2"/>
  <c r="D20" i="3" s="1"/>
  <c r="F7" i="6"/>
  <c r="H21" i="6"/>
  <c r="F24" i="6"/>
  <c r="G28" i="6"/>
  <c r="H33" i="6"/>
  <c r="L36" i="6"/>
  <c r="L38" i="6"/>
  <c r="N38" i="6" s="1"/>
  <c r="F39" i="6"/>
  <c r="L39" i="6" s="1"/>
  <c r="F5" i="7"/>
  <c r="F19" i="6"/>
  <c r="L19" i="6" s="1"/>
  <c r="D11" i="2"/>
  <c r="D21" i="3" s="1"/>
  <c r="F10" i="6"/>
  <c r="N19" i="6"/>
  <c r="I19" i="6"/>
  <c r="F20" i="6"/>
  <c r="G24" i="6"/>
  <c r="I28" i="6"/>
  <c r="G29" i="6"/>
  <c r="G32" i="6"/>
  <c r="I34" i="6"/>
  <c r="L34" i="6"/>
  <c r="F35" i="6"/>
  <c r="N35" i="6" s="1"/>
  <c r="H38" i="6"/>
  <c r="I38" i="6" s="1"/>
  <c r="H25" i="6"/>
  <c r="J25" i="6" s="1"/>
  <c r="K25" i="6" s="1"/>
  <c r="J11" i="7" s="1"/>
  <c r="G27" i="6"/>
  <c r="H27" i="6" s="1"/>
  <c r="I27" i="6"/>
  <c r="K35" i="6"/>
  <c r="G36" i="6"/>
  <c r="I36" i="6" s="1"/>
  <c r="F13" i="7"/>
  <c r="F27" i="6"/>
  <c r="N27" i="6" s="1"/>
  <c r="D5" i="2"/>
  <c r="D15" i="3" s="1"/>
  <c r="D13" i="2"/>
  <c r="D23" i="3" s="1"/>
  <c r="F5" i="6"/>
  <c r="N5" i="6" s="1"/>
  <c r="N5" i="2" s="1"/>
  <c r="G8" i="6"/>
  <c r="F13" i="6"/>
  <c r="G18" i="6"/>
  <c r="M18" i="6"/>
  <c r="M33" i="6"/>
  <c r="O33" i="6" s="1"/>
  <c r="P33" i="6" s="1"/>
  <c r="J35" i="6"/>
  <c r="F12" i="7"/>
  <c r="F40" i="6"/>
  <c r="L40" i="6" s="1"/>
  <c r="F12" i="6"/>
  <c r="N12" i="6" s="1"/>
  <c r="N12" i="2" s="1"/>
  <c r="D12" i="2"/>
  <c r="D22" i="3" s="1"/>
  <c r="F6" i="6"/>
  <c r="F14" i="7"/>
  <c r="F28" i="6"/>
  <c r="N28" i="6" s="1"/>
  <c r="D6" i="2"/>
  <c r="D16" i="3" s="1"/>
  <c r="D14" i="2"/>
  <c r="D24" i="3" s="1"/>
  <c r="F4" i="6"/>
  <c r="N4" i="6" s="1"/>
  <c r="N4" i="2" s="1"/>
  <c r="G5" i="6"/>
  <c r="G9" i="6"/>
  <c r="L11" i="6"/>
  <c r="M11" i="6" s="1"/>
  <c r="M11" i="2" s="1"/>
  <c r="G11" i="6"/>
  <c r="H11" i="6" s="1"/>
  <c r="H11" i="2" s="1"/>
  <c r="G13" i="6"/>
  <c r="N18" i="6"/>
  <c r="G19" i="6"/>
  <c r="L21" i="6"/>
  <c r="G21" i="6"/>
  <c r="M21" i="6"/>
  <c r="F34" i="6"/>
  <c r="M34" i="6" s="1"/>
  <c r="L35" i="6"/>
  <c r="H41" i="6"/>
  <c r="J41" i="6" s="1"/>
  <c r="K41" i="6" s="1"/>
  <c r="M13" i="7" s="1"/>
  <c r="I42" i="6"/>
  <c r="O6" i="7"/>
  <c r="P6" i="7" s="1"/>
  <c r="N6" i="7"/>
  <c r="M6" i="7"/>
  <c r="N7" i="7"/>
  <c r="M7" i="7"/>
  <c r="O7" i="7"/>
  <c r="P7" i="7" s="1"/>
  <c r="Q7" i="7"/>
  <c r="F10" i="7"/>
  <c r="H7" i="6"/>
  <c r="H7" i="2" s="1"/>
  <c r="H15" i="6"/>
  <c r="H15" i="2" s="1"/>
  <c r="F25" i="6"/>
  <c r="H28" i="6"/>
  <c r="L32" i="6"/>
  <c r="J34" i="6"/>
  <c r="M35" i="6"/>
  <c r="G39" i="6"/>
  <c r="N39" i="6"/>
  <c r="K40" i="6"/>
  <c r="M12" i="7" s="1"/>
  <c r="L42" i="6"/>
  <c r="Q5" i="7"/>
  <c r="N8" i="7"/>
  <c r="M9" i="7"/>
  <c r="Q13" i="7"/>
  <c r="Q8" i="7"/>
  <c r="H43" i="6"/>
  <c r="O4" i="7"/>
  <c r="P4" i="7" s="1"/>
  <c r="N5" i="7"/>
  <c r="N32" i="6" l="1"/>
  <c r="M38" i="6"/>
  <c r="H36" i="6"/>
  <c r="M40" i="6"/>
  <c r="H12" i="6"/>
  <c r="H12" i="2" s="1"/>
  <c r="H10" i="6"/>
  <c r="H10" i="2" s="1"/>
  <c r="O18" i="6"/>
  <c r="P18" i="6" s="1"/>
  <c r="M19" i="6"/>
  <c r="O19" i="6" s="1"/>
  <c r="P19" i="6" s="1"/>
  <c r="H4" i="6"/>
  <c r="J33" i="6"/>
  <c r="K33" i="6" s="1"/>
  <c r="Q33" i="6" s="1"/>
  <c r="M22" i="6"/>
  <c r="N22" i="6" s="1"/>
  <c r="O22" i="6" s="1"/>
  <c r="P22" i="6" s="1"/>
  <c r="M8" i="6"/>
  <c r="M8" i="2" s="1"/>
  <c r="L24" i="6"/>
  <c r="M24" i="6" s="1"/>
  <c r="N8" i="6"/>
  <c r="N8" i="2" s="1"/>
  <c r="N24" i="6"/>
  <c r="N40" i="6"/>
  <c r="O40" i="6" s="1"/>
  <c r="P40" i="6" s="1"/>
  <c r="J23" i="6"/>
  <c r="K23" i="6" s="1"/>
  <c r="J9" i="7" s="1"/>
  <c r="J43" i="6"/>
  <c r="K43" i="6" s="1"/>
  <c r="M15" i="7" s="1"/>
  <c r="M32" i="6"/>
  <c r="O35" i="6"/>
  <c r="P35" i="6" s="1"/>
  <c r="Q35" i="6" s="1"/>
  <c r="H13" i="6"/>
  <c r="H13" i="2" s="1"/>
  <c r="G13" i="2"/>
  <c r="J36" i="6"/>
  <c r="K36" i="6" s="1"/>
  <c r="N13" i="6"/>
  <c r="N13" i="2" s="1"/>
  <c r="L27" i="6"/>
  <c r="M27" i="6" s="1"/>
  <c r="K20" i="6"/>
  <c r="J6" i="7" s="1"/>
  <c r="J20" i="6"/>
  <c r="L23" i="6"/>
  <c r="L6" i="6"/>
  <c r="N37" i="6"/>
  <c r="O37" i="6" s="1"/>
  <c r="P37" i="6" s="1"/>
  <c r="G8" i="2"/>
  <c r="H8" i="6"/>
  <c r="H8" i="2" s="1"/>
  <c r="O26" i="6"/>
  <c r="P26" i="6" s="1"/>
  <c r="J14" i="6"/>
  <c r="J14" i="2" s="1"/>
  <c r="G14" i="2"/>
  <c r="O11" i="6"/>
  <c r="O11" i="2" s="1"/>
  <c r="L11" i="2"/>
  <c r="L13" i="6"/>
  <c r="L9" i="6"/>
  <c r="L28" i="6"/>
  <c r="M28" i="6" s="1"/>
  <c r="L14" i="2"/>
  <c r="O14" i="6"/>
  <c r="O14" i="2" s="1"/>
  <c r="K21" i="6"/>
  <c r="J7" i="7" s="1"/>
  <c r="J21" i="6"/>
  <c r="H9" i="6"/>
  <c r="H9" i="2" s="1"/>
  <c r="G9" i="2"/>
  <c r="H29" i="6"/>
  <c r="J29" i="6" s="1"/>
  <c r="K29" i="6" s="1"/>
  <c r="J15" i="7" s="1"/>
  <c r="L20" i="6"/>
  <c r="N20" i="6"/>
  <c r="O38" i="6"/>
  <c r="P38" i="6" s="1"/>
  <c r="H26" i="6"/>
  <c r="J26" i="6" s="1"/>
  <c r="K26" i="6" s="1"/>
  <c r="J12" i="7" s="1"/>
  <c r="J38" i="6"/>
  <c r="K38" i="6" s="1"/>
  <c r="M10" i="7" s="1"/>
  <c r="L10" i="6"/>
  <c r="N10" i="6" s="1"/>
  <c r="N10" i="2" s="1"/>
  <c r="H37" i="6"/>
  <c r="I37" i="6" s="1"/>
  <c r="J42" i="6"/>
  <c r="K42" i="6" s="1"/>
  <c r="M14" i="7" s="1"/>
  <c r="H32" i="6"/>
  <c r="J32" i="6" s="1"/>
  <c r="K32" i="6" s="1"/>
  <c r="O21" i="6"/>
  <c r="P21" i="6" s="1"/>
  <c r="J27" i="6"/>
  <c r="K27" i="6" s="1"/>
  <c r="J13" i="7" s="1"/>
  <c r="L8" i="2"/>
  <c r="M36" i="6"/>
  <c r="N6" i="6"/>
  <c r="N6" i="2" s="1"/>
  <c r="J15" i="6"/>
  <c r="J15" i="2" s="1"/>
  <c r="G15" i="2"/>
  <c r="G11" i="2"/>
  <c r="J11" i="6"/>
  <c r="J11" i="2" s="1"/>
  <c r="M39" i="6"/>
  <c r="H19" i="6"/>
  <c r="J19" i="6" s="1"/>
  <c r="H5" i="6"/>
  <c r="H5" i="2" s="1"/>
  <c r="G5" i="2"/>
  <c r="L12" i="6"/>
  <c r="M12" i="6" s="1"/>
  <c r="M12" i="2" s="1"/>
  <c r="H18" i="6"/>
  <c r="J18" i="6" s="1"/>
  <c r="K18" i="6" s="1"/>
  <c r="J4" i="7" s="1"/>
  <c r="L7" i="6"/>
  <c r="N7" i="6"/>
  <c r="N7" i="2" s="1"/>
  <c r="K7" i="6"/>
  <c r="G7" i="7" s="1"/>
  <c r="J7" i="6"/>
  <c r="J7" i="2" s="1"/>
  <c r="G7" i="2"/>
  <c r="J6" i="6"/>
  <c r="J6" i="2" s="1"/>
  <c r="G6" i="2"/>
  <c r="H39" i="6"/>
  <c r="F15" i="7"/>
  <c r="F43" i="6"/>
  <c r="F29" i="6"/>
  <c r="F15" i="6"/>
  <c r="D15" i="2"/>
  <c r="D25" i="3" s="1"/>
  <c r="N25" i="6"/>
  <c r="L25" i="6"/>
  <c r="L4" i="6"/>
  <c r="M4" i="6" s="1"/>
  <c r="M4" i="2" s="1"/>
  <c r="M42" i="6"/>
  <c r="O42" i="6" s="1"/>
  <c r="N34" i="6"/>
  <c r="J28" i="6"/>
  <c r="K28" i="6" s="1"/>
  <c r="J14" i="7" s="1"/>
  <c r="L5" i="6"/>
  <c r="M5" i="6" s="1"/>
  <c r="M5" i="2" s="1"/>
  <c r="B5" i="4"/>
  <c r="D5" i="4" s="1"/>
  <c r="H24" i="6"/>
  <c r="I24" i="6" s="1"/>
  <c r="O41" i="6"/>
  <c r="P41" i="6" s="1"/>
  <c r="J10" i="6"/>
  <c r="J10" i="2" s="1"/>
  <c r="G10" i="2"/>
  <c r="K10" i="2" s="1"/>
  <c r="E20" i="3" s="1"/>
  <c r="O24" i="6" l="1"/>
  <c r="P24" i="6" s="1"/>
  <c r="K10" i="6"/>
  <c r="G10" i="7" s="1"/>
  <c r="K11" i="2"/>
  <c r="E21" i="3" s="1"/>
  <c r="M10" i="6"/>
  <c r="M10" i="2" s="1"/>
  <c r="J12" i="6"/>
  <c r="H4" i="2"/>
  <c r="J4" i="6"/>
  <c r="J4" i="2" s="1"/>
  <c r="K19" i="6"/>
  <c r="J5" i="7" s="1"/>
  <c r="O8" i="6"/>
  <c r="O8" i="2" s="1"/>
  <c r="P8" i="2" s="1"/>
  <c r="P14" i="6"/>
  <c r="H14" i="7" s="1"/>
  <c r="N36" i="6"/>
  <c r="O36" i="6" s="1"/>
  <c r="P36" i="6" s="1"/>
  <c r="Q36" i="6" s="1"/>
  <c r="O39" i="6"/>
  <c r="P39" i="6" s="1"/>
  <c r="N11" i="7" s="1"/>
  <c r="P11" i="6"/>
  <c r="H11" i="7" s="1"/>
  <c r="I9" i="6"/>
  <c r="K15" i="6"/>
  <c r="G15" i="7" s="1"/>
  <c r="P11" i="2"/>
  <c r="Q11" i="2" s="1"/>
  <c r="G21" i="3" s="1"/>
  <c r="I8" i="6"/>
  <c r="I8" i="2" s="1"/>
  <c r="K7" i="7"/>
  <c r="Q21" i="6"/>
  <c r="L7" i="7" s="1"/>
  <c r="Q41" i="6"/>
  <c r="O13" i="7" s="1"/>
  <c r="N13" i="7"/>
  <c r="K5" i="7"/>
  <c r="N12" i="7"/>
  <c r="Q40" i="6"/>
  <c r="O12" i="7" s="1"/>
  <c r="K8" i="7"/>
  <c r="Q22" i="6"/>
  <c r="L8" i="7" s="1"/>
  <c r="K10" i="7"/>
  <c r="Q38" i="6"/>
  <c r="O10" i="7" s="1"/>
  <c r="N10" i="7"/>
  <c r="K12" i="7"/>
  <c r="Q26" i="6"/>
  <c r="L12" i="7" s="1"/>
  <c r="N43" i="6"/>
  <c r="L43" i="6"/>
  <c r="L9" i="2"/>
  <c r="K14" i="6"/>
  <c r="G14" i="7" s="1"/>
  <c r="J24" i="6"/>
  <c r="K24" i="6" s="1"/>
  <c r="J10" i="7" s="1"/>
  <c r="L6" i="2"/>
  <c r="O34" i="6"/>
  <c r="P34" i="6" s="1"/>
  <c r="Q34" i="6" s="1"/>
  <c r="M6" i="6"/>
  <c r="M6" i="2" s="1"/>
  <c r="L7" i="2"/>
  <c r="L10" i="2"/>
  <c r="K14" i="2"/>
  <c r="E24" i="3" s="1"/>
  <c r="M23" i="6"/>
  <c r="M25" i="6"/>
  <c r="M7" i="6"/>
  <c r="M7" i="2" s="1"/>
  <c r="L13" i="2"/>
  <c r="J37" i="6"/>
  <c r="K37" i="6" s="1"/>
  <c r="Q37" i="6" s="1"/>
  <c r="J39" i="6"/>
  <c r="K39" i="6" s="1"/>
  <c r="P42" i="6"/>
  <c r="K6" i="6"/>
  <c r="G6" i="7" s="1"/>
  <c r="K6" i="2"/>
  <c r="E16" i="3" s="1"/>
  <c r="J5" i="6"/>
  <c r="K11" i="6"/>
  <c r="G11" i="7" s="1"/>
  <c r="M9" i="6"/>
  <c r="M13" i="6"/>
  <c r="M13" i="2" s="1"/>
  <c r="L4" i="2"/>
  <c r="O4" i="6"/>
  <c r="O4" i="2" s="1"/>
  <c r="N15" i="6"/>
  <c r="N15" i="2" s="1"/>
  <c r="L15" i="6"/>
  <c r="M15" i="6" s="1"/>
  <c r="M15" i="2" s="1"/>
  <c r="K7" i="2"/>
  <c r="E17" i="3" s="1"/>
  <c r="K15" i="2"/>
  <c r="P14" i="2"/>
  <c r="O27" i="6"/>
  <c r="P27" i="6" s="1"/>
  <c r="O32" i="6"/>
  <c r="P32" i="6" s="1"/>
  <c r="Q32" i="6" s="1"/>
  <c r="M20" i="6"/>
  <c r="L5" i="2"/>
  <c r="O5" i="6"/>
  <c r="O5" i="2" s="1"/>
  <c r="L29" i="6"/>
  <c r="N29" i="6"/>
  <c r="O12" i="6"/>
  <c r="O12" i="2" s="1"/>
  <c r="L12" i="2"/>
  <c r="K4" i="7"/>
  <c r="Q18" i="6"/>
  <c r="L4" i="7" s="1"/>
  <c r="O28" i="6"/>
  <c r="P28" i="6" s="1"/>
  <c r="J13" i="6"/>
  <c r="J8" i="6" l="1"/>
  <c r="J8" i="2" s="1"/>
  <c r="K8" i="2" s="1"/>
  <c r="E18" i="3" s="1"/>
  <c r="J12" i="2"/>
  <c r="K12" i="2" s="1"/>
  <c r="E22" i="3" s="1"/>
  <c r="K12" i="6"/>
  <c r="G12" i="7" s="1"/>
  <c r="F21" i="3"/>
  <c r="Q14" i="6"/>
  <c r="I14" i="7" s="1"/>
  <c r="O10" i="6"/>
  <c r="O10" i="2" s="1"/>
  <c r="Q19" i="6"/>
  <c r="L5" i="7" s="1"/>
  <c r="K4" i="2"/>
  <c r="E14" i="3" s="1"/>
  <c r="K4" i="6"/>
  <c r="G4" i="7" s="1"/>
  <c r="P12" i="2"/>
  <c r="F22" i="3" s="1"/>
  <c r="F18" i="3"/>
  <c r="P8" i="6"/>
  <c r="H8" i="7" s="1"/>
  <c r="P10" i="2"/>
  <c r="F20" i="3" s="1"/>
  <c r="I9" i="2"/>
  <c r="J9" i="6"/>
  <c r="J9" i="2" s="1"/>
  <c r="M9" i="2"/>
  <c r="N9" i="6"/>
  <c r="N23" i="6"/>
  <c r="O23" i="6" s="1"/>
  <c r="P23" i="6" s="1"/>
  <c r="Q27" i="6"/>
  <c r="L13" i="7" s="1"/>
  <c r="K13" i="7"/>
  <c r="P13" i="7" s="1"/>
  <c r="M11" i="7"/>
  <c r="Q39" i="6"/>
  <c r="O11" i="7" s="1"/>
  <c r="K14" i="7"/>
  <c r="Q28" i="6"/>
  <c r="L14" i="7" s="1"/>
  <c r="P5" i="2"/>
  <c r="P4" i="2"/>
  <c r="Q42" i="6"/>
  <c r="O14" i="7" s="1"/>
  <c r="N14" i="7"/>
  <c r="Q14" i="2"/>
  <c r="G24" i="3" s="1"/>
  <c r="F24" i="3"/>
  <c r="O6" i="6"/>
  <c r="O6" i="2" s="1"/>
  <c r="P6" i="2" s="1"/>
  <c r="O20" i="6"/>
  <c r="P20" i="6" s="1"/>
  <c r="P12" i="6"/>
  <c r="E25" i="3"/>
  <c r="B30" i="3"/>
  <c r="Q11" i="6"/>
  <c r="I11" i="7" s="1"/>
  <c r="O25" i="6"/>
  <c r="P25" i="6" s="1"/>
  <c r="P10" i="7"/>
  <c r="P5" i="6"/>
  <c r="P4" i="6"/>
  <c r="J13" i="2"/>
  <c r="K13" i="2" s="1"/>
  <c r="E23" i="3" s="1"/>
  <c r="K13" i="6"/>
  <c r="G13" i="7" s="1"/>
  <c r="K8" i="6"/>
  <c r="G8" i="7" s="1"/>
  <c r="Q24" i="6"/>
  <c r="L10" i="7" s="1"/>
  <c r="L15" i="2"/>
  <c r="O15" i="6"/>
  <c r="O15" i="2" s="1"/>
  <c r="M43" i="6"/>
  <c r="P12" i="7"/>
  <c r="M29" i="6"/>
  <c r="O29" i="6" s="1"/>
  <c r="J5" i="2"/>
  <c r="K5" i="2" s="1"/>
  <c r="E15" i="3" s="1"/>
  <c r="K5" i="6"/>
  <c r="G5" i="7" s="1"/>
  <c r="O13" i="6"/>
  <c r="O13" i="2" s="1"/>
  <c r="P13" i="2" s="1"/>
  <c r="O7" i="6"/>
  <c r="Q8" i="2" l="1"/>
  <c r="G18" i="3" s="1"/>
  <c r="Q12" i="2"/>
  <c r="G22" i="3" s="1"/>
  <c r="Q10" i="2"/>
  <c r="G20" i="3" s="1"/>
  <c r="P10" i="6"/>
  <c r="P13" i="6"/>
  <c r="H13" i="7" s="1"/>
  <c r="Q23" i="6"/>
  <c r="L9" i="7" s="1"/>
  <c r="K9" i="7"/>
  <c r="N9" i="2"/>
  <c r="O9" i="6"/>
  <c r="O9" i="2" s="1"/>
  <c r="K9" i="6"/>
  <c r="G9" i="7" s="1"/>
  <c r="Q8" i="6"/>
  <c r="I8" i="7" s="1"/>
  <c r="P15" i="6"/>
  <c r="H15" i="7" s="1"/>
  <c r="K9" i="2"/>
  <c r="E19" i="3" s="1"/>
  <c r="Q25" i="6"/>
  <c r="L11" i="7" s="1"/>
  <c r="K11" i="7"/>
  <c r="P11" i="7" s="1"/>
  <c r="K6" i="7"/>
  <c r="Q20" i="6"/>
  <c r="L6" i="7" s="1"/>
  <c r="F16" i="3"/>
  <c r="Q6" i="2"/>
  <c r="G16" i="3" s="1"/>
  <c r="Q13" i="2"/>
  <c r="G23" i="3" s="1"/>
  <c r="F23" i="3"/>
  <c r="P29" i="6"/>
  <c r="Q13" i="6"/>
  <c r="I13" i="7" s="1"/>
  <c r="H12" i="7"/>
  <c r="Q12" i="6"/>
  <c r="I12" i="7" s="1"/>
  <c r="F15" i="3"/>
  <c r="Q5" i="2"/>
  <c r="G15" i="3" s="1"/>
  <c r="H5" i="7"/>
  <c r="Q5" i="6"/>
  <c r="I5" i="7" s="1"/>
  <c r="O7" i="2"/>
  <c r="P7" i="2" s="1"/>
  <c r="P7" i="6"/>
  <c r="H10" i="7"/>
  <c r="Q10" i="6"/>
  <c r="I10" i="7" s="1"/>
  <c r="O43" i="6"/>
  <c r="P43" i="6" s="1"/>
  <c r="P6" i="6"/>
  <c r="H4" i="7"/>
  <c r="Q4" i="6"/>
  <c r="I4" i="7" s="1"/>
  <c r="P14" i="7"/>
  <c r="P15" i="2"/>
  <c r="F14" i="3"/>
  <c r="Q4" i="2"/>
  <c r="Q15" i="6" l="1"/>
  <c r="I15" i="7" s="1"/>
  <c r="P9" i="2"/>
  <c r="F19" i="3" s="1"/>
  <c r="P9" i="6"/>
  <c r="Q43" i="6"/>
  <c r="O15" i="7" s="1"/>
  <c r="N15" i="7"/>
  <c r="Q6" i="6"/>
  <c r="I6" i="7" s="1"/>
  <c r="H6" i="7"/>
  <c r="G14" i="3"/>
  <c r="H7" i="7"/>
  <c r="Q7" i="6"/>
  <c r="I7" i="7" s="1"/>
  <c r="Q7" i="2"/>
  <c r="G17" i="3" s="1"/>
  <c r="F17" i="3"/>
  <c r="K15" i="7"/>
  <c r="Q29" i="6"/>
  <c r="L15" i="7" s="1"/>
  <c r="Q15" i="2"/>
  <c r="B29" i="3"/>
  <c r="F25" i="3"/>
  <c r="Q9" i="2" l="1"/>
  <c r="G19" i="3" s="1"/>
  <c r="H9" i="7"/>
  <c r="B12" i="4" s="1"/>
  <c r="D12" i="4" s="1"/>
  <c r="Q9" i="6"/>
  <c r="I9" i="7" s="1"/>
  <c r="G25" i="3"/>
  <c r="B22" i="2"/>
  <c r="P15" i="7"/>
  <c r="B23" i="2" l="1"/>
  <c r="B32" i="3" s="1"/>
  <c r="B21" i="7"/>
  <c r="B31" i="3"/>
  <c r="B24" i="2" l="1"/>
  <c r="B23" i="7" s="1"/>
  <c r="B22" i="7"/>
  <c r="B25" i="2" l="1"/>
  <c r="B9" i="3"/>
  <c r="B33" i="3"/>
  <c r="B6" i="4" s="1"/>
  <c r="D6" i="4" s="1"/>
  <c r="B7" i="4"/>
  <c r="D7" i="4" s="1"/>
</calcChain>
</file>

<file path=xl/sharedStrings.xml><?xml version="1.0" encoding="utf-8"?>
<sst xmlns="http://schemas.openxmlformats.org/spreadsheetml/2006/main" count="661" uniqueCount="158">
  <si>
    <t>EPS 1995 Arrears - Source Data</t>
  </si>
  <si>
    <t>Year</t>
  </si>
  <si>
    <t>Taxable Income before Arrears</t>
  </si>
  <si>
    <t>Arrears</t>
  </si>
  <si>
    <t>Taxable Income after Arrears</t>
  </si>
  <si>
    <t>Tax Regime</t>
  </si>
  <si>
    <t>Category</t>
  </si>
  <si>
    <t>Workbook note</t>
  </si>
  <si>
    <t>Edit this sheet only if source arrears/income data changes.</t>
  </si>
  <si>
    <t>2014-15</t>
  </si>
  <si>
    <t>OLD</t>
  </si>
  <si>
    <t>Resident-Normal Citizen</t>
  </si>
  <si>
    <t>Receipt year</t>
  </si>
  <si>
    <t>2025-26</t>
  </si>
  <si>
    <t>2015-16</t>
  </si>
  <si>
    <t>Assessment year</t>
  </si>
  <si>
    <t>2026-27</t>
  </si>
  <si>
    <t>2016-17</t>
  </si>
  <si>
    <t>Resident-Senior Citizen</t>
  </si>
  <si>
    <t>Relief basis</t>
  </si>
  <si>
    <t>Section 89(1), Rule 21A, Form 10E Annexure I</t>
  </si>
  <si>
    <t>2017-18</t>
  </si>
  <si>
    <t>Receipt-year arrears check</t>
  </si>
  <si>
    <t>2018-19</t>
  </si>
  <si>
    <t>Status</t>
  </si>
  <si>
    <t>2019-20</t>
  </si>
  <si>
    <t>2020-21</t>
  </si>
  <si>
    <t>Form 10E details</t>
  </si>
  <si>
    <t>2021-22</t>
  </si>
  <si>
    <t>Name</t>
  </si>
  <si>
    <t>2022-23</t>
  </si>
  <si>
    <t>PAN</t>
  </si>
  <si>
    <t>2023-24</t>
  </si>
  <si>
    <t>NEW</t>
  </si>
  <si>
    <t>Address</t>
  </si>
  <si>
    <t>2024-25</t>
  </si>
  <si>
    <t>RESIDENT - SR CITIZEN</t>
  </si>
  <si>
    <t>Note : Taxable Income before Arrears excludes capital gains/special-rate income where normal slabs do not apply.</t>
  </si>
  <si>
    <t>Section 89(1) Relief Calculation</t>
  </si>
  <si>
    <t>Financial Year</t>
  </si>
  <si>
    <t>Taxable income before arrears</t>
  </si>
  <si>
    <t>Arrears attributable</t>
  </si>
  <si>
    <t>Taxable income after arrears</t>
  </si>
  <si>
    <t>Regime</t>
  </si>
  <si>
    <t>Basic tax before</t>
  </si>
  <si>
    <t>Rebate before</t>
  </si>
  <si>
    <t>Surcharge before</t>
  </si>
  <si>
    <t>Cess before</t>
  </si>
  <si>
    <t>Tax before</t>
  </si>
  <si>
    <t>Basic tax after</t>
  </si>
  <si>
    <t>Rebate after</t>
  </si>
  <si>
    <t>Surcharge after</t>
  </si>
  <si>
    <t>Cess after</t>
  </si>
  <si>
    <t>Tax after</t>
  </si>
  <si>
    <t>Extra tax due to arrears</t>
  </si>
  <si>
    <t>Relief Summary :</t>
  </si>
  <si>
    <t>Receipt financial year</t>
  </si>
  <si>
    <t>Additional tax in receipt year</t>
  </si>
  <si>
    <t>Additional tax attributable to earlier years</t>
  </si>
  <si>
    <t>Section 89(1) relief</t>
  </si>
  <si>
    <t>Net tax after relief in receipt year</t>
  </si>
  <si>
    <t>Form 10E - Linked Working for Section 89(1) Relief</t>
  </si>
  <si>
    <t>Previous year in which arrears received</t>
  </si>
  <si>
    <t>Relief claimed u/s 89(1)</t>
  </si>
  <si>
    <t>Annexure I - Arrears or Advance Salary</t>
  </si>
  <si>
    <t>Total income excluding arrears</t>
  </si>
  <si>
    <t>Total income including arrears</t>
  </si>
  <si>
    <t>Tax on excluding arrears</t>
  </si>
  <si>
    <t>Tax on including arrears</t>
  </si>
  <si>
    <t>Extra tax</t>
  </si>
  <si>
    <t>Computation of relief claimed in Form 10E</t>
  </si>
  <si>
    <t>Tax on income including arrears in year of receipt</t>
  </si>
  <si>
    <t>Tax on income excluding arrears in year of receipt</t>
  </si>
  <si>
    <t>Extra tax payable in year of receipt</t>
  </si>
  <si>
    <t>Aggregate extra tax for earlier years</t>
  </si>
  <si>
    <t>Relief under section 89(1)</t>
  </si>
  <si>
    <t>Workbook Checks</t>
  </si>
  <si>
    <t>Check</t>
  </si>
  <si>
    <t>Formula</t>
  </si>
  <si>
    <t>Expected / meaning</t>
  </si>
  <si>
    <t>Receipt-year arrears equals total earlier arrears</t>
  </si>
  <si>
    <t>OK</t>
  </si>
  <si>
    <t>Taxable after = before + arrears for every row</t>
  </si>
  <si>
    <t>Form relief equals calculation relief</t>
  </si>
  <si>
    <t>Relief is not negative</t>
  </si>
  <si>
    <t>Receipt year used</t>
  </si>
  <si>
    <t>Assessment year used</t>
  </si>
  <si>
    <t>Tax regime dropdown present on Source_Data</t>
  </si>
  <si>
    <t>Category dropdown present on Source_Data</t>
  </si>
  <si>
    <t>Comparison selected tax equals relief calculation</t>
  </si>
  <si>
    <t>FY 2014-15 added</t>
  </si>
  <si>
    <t>FY 2015-16 added</t>
  </si>
  <si>
    <t>Tax Rate Assumptions</t>
  </si>
  <si>
    <t>Rates are prefilled for resident individuals based on common slab structures. Review before filing if any surcharge, marginal relief, rebate, or special-rate income rule applies.</t>
  </si>
  <si>
    <t>Lower limit</t>
  </si>
  <si>
    <t>Upper limit</t>
  </si>
  <si>
    <t>Rate</t>
  </si>
  <si>
    <t>Named ranges used by formulas</t>
  </si>
  <si>
    <t>Slabs</t>
  </si>
  <si>
    <t>$A$5:$F$95</t>
  </si>
  <si>
    <t>Tax slab brackets</t>
  </si>
  <si>
    <t>Rebates</t>
  </si>
  <si>
    <t>$A$99:$E$108</t>
  </si>
  <si>
    <t>Section 87A rebate inputs</t>
  </si>
  <si>
    <t>Surcharge</t>
  </si>
  <si>
    <t>$A$112:$F$180</t>
  </si>
  <si>
    <t>Surcharge rates</t>
  </si>
  <si>
    <t>Cess</t>
  </si>
  <si>
    <t>$A$184:$B$193</t>
  </si>
  <si>
    <t>Cess rates</t>
  </si>
  <si>
    <t>Surcharge floor</t>
  </si>
  <si>
    <t>5000000</t>
  </si>
  <si>
    <t>Used for marginal relief</t>
  </si>
  <si>
    <t>Formula style</t>
  </si>
  <si>
    <t>Editable assumptions</t>
  </si>
  <si>
    <t>No tax figures are hardcoded in calculation sheets</t>
  </si>
  <si>
    <t>Status match</t>
  </si>
  <si>
    <t>All/status text</t>
  </si>
  <si>
    <t>Specific status overrides All where supplied</t>
  </si>
  <si>
    <t>All</t>
  </si>
  <si>
    <t>Rebate threshold</t>
  </si>
  <si>
    <t>Maximum rebate</t>
  </si>
  <si>
    <t>Lower threshold</t>
  </si>
  <si>
    <t>Upper threshold</t>
  </si>
  <si>
    <t>Surcharge rate</t>
  </si>
  <si>
    <t>Cess rate</t>
  </si>
  <si>
    <t>Tax Engine - Stepwise Old/New Regime Computation</t>
  </si>
  <si>
    <t>Source row</t>
  </si>
  <si>
    <t>Income before</t>
  </si>
  <si>
    <t>Income after</t>
  </si>
  <si>
    <t>Basic before</t>
  </si>
  <si>
    <t>Basic after</t>
  </si>
  <si>
    <t>Old/New Tax Regime and Category Comparison - FY 2014-15 to FY 2025-26</t>
  </si>
  <si>
    <t>Selected Regime</t>
  </si>
  <si>
    <t>Selected Category</t>
  </si>
  <si>
    <t>Income before arrears</t>
  </si>
  <si>
    <t>Income after arrears</t>
  </si>
  <si>
    <t>Selected tax before</t>
  </si>
  <si>
    <t>Selected tax after</t>
  </si>
  <si>
    <t>Selected extra tax</t>
  </si>
  <si>
    <t>OLD tax before</t>
  </si>
  <si>
    <t>OLD tax after</t>
  </si>
  <si>
    <t>OLD extra tax</t>
  </si>
  <si>
    <t>NEW tax before</t>
  </si>
  <si>
    <t>NEW tax after</t>
  </si>
  <si>
    <t>NEW extra tax</t>
  </si>
  <si>
    <t>Better regime</t>
  </si>
  <si>
    <t>Note</t>
  </si>
  <si>
    <t>Summary</t>
  </si>
  <si>
    <t>Receipt-year selected regime</t>
  </si>
  <si>
    <t>Receipt-year selected category</t>
  </si>
  <si>
    <t>Receipt-year extra tax</t>
  </si>
  <si>
    <t>Earlier-year extra tax</t>
  </si>
  <si>
    <t>Notes</t>
  </si>
  <si>
    <t>Change Tax Regime and Category in Source_Data columns E and F. Those dropdowns drive Tax_Engine, Relief_Calculation, and this comparison sheet.</t>
  </si>
  <si>
    <t>FY 2014-15 and FY 2015-16 have been added as old-regime years with blank zero inputs for user entry.</t>
  </si>
  <si>
    <t>New regime computation is provided from FY 2020-21 onward.</t>
  </si>
  <si>
    <t>Additional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</si>
</sst>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2">
    <font>
      <sz val="11"/>
      <name val="Carlito"/>
    </font>
    <font>
      <b/>
      <sz val="15"/>
      <color rgb="FFFFFFFF"/>
      <name val="Carlito"/>
    </font>
    <font>
      <b/>
      <sz val="11"/>
      <color rgb="FF17324D"/>
      <name val="Carlito"/>
    </font>
    <font>
      <sz val="11"/>
      <color rgb="FF5B4A00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9C0006"/>
      <name val="Carlito"/>
    </font>
    <font>
      <b/>
      <sz val="11"/>
      <color rgb="FFFF0000"/>
      <name val="Carlito"/>
    </font>
    <font>
      <b/>
      <sz val="10"/>
      <color rgb="FFFFFFFF"/>
      <name val="Carlito"/>
    </font>
    <font>
      <sz val="10"/>
      <name val="Carlito"/>
    </font>
    <font>
      <b/>
      <sz val="11"/>
      <color rgb="FFFF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FFF7D6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4F81BD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39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double">
        <color auto="1"/>
      </left>
      <right style="thin">
        <color rgb="FFD9E2F3"/>
      </right>
      <top style="double">
        <color auto="1"/>
      </top>
      <bottom style="double">
        <color auto="1"/>
      </bottom>
      <diagonal/>
    </border>
    <border>
      <left style="thin">
        <color rgb="FFD9E2F3"/>
      </left>
      <right style="thin">
        <color rgb="FFD9E2F3"/>
      </right>
      <top style="double">
        <color auto="1"/>
      </top>
      <bottom style="double">
        <color auto="1"/>
      </bottom>
      <diagonal/>
    </border>
    <border>
      <left style="thin">
        <color rgb="FFD9E2F3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double">
        <color auto="1"/>
      </top>
      <bottom/>
      <diagonal/>
    </border>
    <border>
      <left style="thin">
        <color rgb="FFD9E2F3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4" fillId="6" borderId="1" xfId="0" applyFont="1" applyFill="1" applyBorder="1" applyAlignment="1">
      <alignment horizontal="center"/>
    </xf>
    <xf numFmtId="0" fontId="0" fillId="0" borderId="1" xfId="0" applyBorder="1"/>
    <xf numFmtId="0" fontId="5" fillId="7" borderId="1" xfId="0" applyFont="1" applyFill="1" applyBorder="1" applyAlignment="1">
      <alignment wrapText="1"/>
    </xf>
    <xf numFmtId="3" fontId="0" fillId="0" borderId="1" xfId="0" applyNumberFormat="1" applyBorder="1"/>
    <xf numFmtId="164" fontId="0" fillId="0" borderId="1" xfId="0" applyNumberFormat="1" applyBorder="1"/>
    <xf numFmtId="9" fontId="0" fillId="0" borderId="1" xfId="0" applyNumberFormat="1" applyBorder="1"/>
    <xf numFmtId="0" fontId="2" fillId="3" borderId="1" xfId="0" applyFont="1" applyFill="1" applyBorder="1" applyAlignment="1">
      <alignment wrapText="1"/>
    </xf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49" fontId="0" fillId="0" borderId="3" xfId="0" applyNumberFormat="1" applyBorder="1"/>
    <xf numFmtId="0" fontId="5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wrapText="1"/>
    </xf>
    <xf numFmtId="0" fontId="5" fillId="7" borderId="11" xfId="0" applyFont="1" applyFill="1" applyBorder="1" applyAlignment="1">
      <alignment wrapText="1"/>
    </xf>
    <xf numFmtId="164" fontId="0" fillId="0" borderId="3" xfId="0" applyNumberFormat="1" applyBorder="1"/>
    <xf numFmtId="49" fontId="0" fillId="0" borderId="12" xfId="0" applyNumberFormat="1" applyBorder="1"/>
    <xf numFmtId="0" fontId="0" fillId="9" borderId="13" xfId="0" applyFill="1" applyBorder="1"/>
    <xf numFmtId="0" fontId="0" fillId="9" borderId="14" xfId="0" applyFill="1" applyBorder="1"/>
    <xf numFmtId="49" fontId="0" fillId="0" borderId="15" xfId="0" applyNumberFormat="1" applyBorder="1"/>
    <xf numFmtId="0" fontId="0" fillId="9" borderId="16" xfId="0" applyFill="1" applyBorder="1"/>
    <xf numFmtId="0" fontId="0" fillId="9" borderId="17" xfId="0" applyFill="1" applyBorder="1"/>
    <xf numFmtId="0" fontId="0" fillId="0" borderId="15" xfId="0" applyBorder="1"/>
    <xf numFmtId="49" fontId="0" fillId="0" borderId="18" xfId="0" applyNumberFormat="1" applyBorder="1"/>
    <xf numFmtId="0" fontId="0" fillId="0" borderId="21" xfId="0" applyBorder="1"/>
    <xf numFmtId="0" fontId="0" fillId="0" borderId="22" xfId="0" applyBorder="1"/>
    <xf numFmtId="0" fontId="0" fillId="0" borderId="12" xfId="0" applyBorder="1"/>
    <xf numFmtId="3" fontId="7" fillId="10" borderId="17" xfId="0" applyNumberFormat="1" applyFont="1" applyFill="1" applyBorder="1"/>
    <xf numFmtId="0" fontId="0" fillId="0" borderId="18" xfId="0" applyBorder="1"/>
    <xf numFmtId="0" fontId="0" fillId="0" borderId="20" xfId="0" applyBorder="1"/>
    <xf numFmtId="0" fontId="6" fillId="8" borderId="12" xfId="0" applyFont="1" applyFill="1" applyBorder="1"/>
    <xf numFmtId="0" fontId="0" fillId="8" borderId="14" xfId="0" applyFill="1" applyBorder="1"/>
    <xf numFmtId="0" fontId="6" fillId="0" borderId="15" xfId="0" applyFont="1" applyBorder="1"/>
    <xf numFmtId="0" fontId="6" fillId="0" borderId="18" xfId="0" applyFont="1" applyBorder="1"/>
    <xf numFmtId="3" fontId="7" fillId="10" borderId="19" xfId="0" applyNumberFormat="1" applyFont="1" applyFill="1" applyBorder="1"/>
    <xf numFmtId="3" fontId="7" fillId="10" borderId="13" xfId="0" applyNumberFormat="1" applyFont="1" applyFill="1" applyBorder="1"/>
    <xf numFmtId="3" fontId="7" fillId="10" borderId="16" xfId="0" applyNumberFormat="1" applyFont="1" applyFill="1" applyBorder="1"/>
    <xf numFmtId="0" fontId="6" fillId="5" borderId="20" xfId="0" applyFont="1" applyFill="1" applyBorder="1"/>
    <xf numFmtId="3" fontId="0" fillId="0" borderId="3" xfId="0" applyNumberFormat="1" applyBorder="1"/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wrapText="1"/>
    </xf>
    <xf numFmtId="0" fontId="9" fillId="7" borderId="10" xfId="0" applyFont="1" applyFill="1" applyBorder="1" applyAlignment="1">
      <alignment horizontal="center" vertical="center" wrapText="1"/>
    </xf>
    <xf numFmtId="3" fontId="0" fillId="0" borderId="12" xfId="0" applyNumberFormat="1" applyBorder="1"/>
    <xf numFmtId="3" fontId="0" fillId="0" borderId="13" xfId="0" applyNumberFormat="1" applyBorder="1"/>
    <xf numFmtId="3" fontId="10" fillId="0" borderId="13" xfId="0" applyNumberFormat="1" applyFont="1" applyBorder="1" applyAlignment="1">
      <alignment wrapText="1"/>
    </xf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10" fillId="0" borderId="16" xfId="0" applyNumberFormat="1" applyFont="1" applyBorder="1" applyAlignment="1">
      <alignment wrapText="1"/>
    </xf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3" fontId="10" fillId="0" borderId="19" xfId="0" applyNumberFormat="1" applyFont="1" applyBorder="1" applyAlignment="1">
      <alignment wrapText="1"/>
    </xf>
    <xf numFmtId="3" fontId="0" fillId="0" borderId="20" xfId="0" applyNumberFormat="1" applyBorder="1"/>
    <xf numFmtId="3" fontId="0" fillId="0" borderId="15" xfId="0" applyNumberFormat="1" applyBorder="1" applyAlignment="1">
      <alignment wrapText="1"/>
    </xf>
    <xf numFmtId="3" fontId="0" fillId="0" borderId="18" xfId="0" applyNumberFormat="1" applyBorder="1" applyAlignment="1">
      <alignment wrapText="1"/>
    </xf>
    <xf numFmtId="3" fontId="0" fillId="0" borderId="23" xfId="0" applyNumberFormat="1" applyBorder="1"/>
    <xf numFmtId="3" fontId="0" fillId="0" borderId="0" xfId="0" applyNumberFormat="1"/>
    <xf numFmtId="3" fontId="11" fillId="0" borderId="0" xfId="0" applyNumberFormat="1" applyFont="1"/>
    <xf numFmtId="3" fontId="0" fillId="0" borderId="24" xfId="0" applyNumberFormat="1" applyBorder="1"/>
    <xf numFmtId="0" fontId="6" fillId="0" borderId="12" xfId="0" applyFont="1" applyBorder="1"/>
    <xf numFmtId="0" fontId="6" fillId="0" borderId="15" xfId="0" applyFont="1" applyBorder="1" applyAlignment="1">
      <alignment wrapText="1"/>
    </xf>
    <xf numFmtId="0" fontId="0" fillId="0" borderId="16" xfId="0" applyBorder="1"/>
    <xf numFmtId="0" fontId="0" fillId="0" borderId="17" xfId="0" applyBorder="1"/>
    <xf numFmtId="0" fontId="6" fillId="0" borderId="18" xfId="0" applyFont="1" applyBorder="1" applyAlignment="1">
      <alignment wrapText="1"/>
    </xf>
    <xf numFmtId="0" fontId="0" fillId="0" borderId="19" xfId="0" applyBorder="1"/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left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25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/>
    <xf numFmtId="3" fontId="0" fillId="0" borderId="29" xfId="0" applyNumberFormat="1" applyBorder="1"/>
    <xf numFmtId="0" fontId="0" fillId="0" borderId="30" xfId="0" applyBorder="1"/>
    <xf numFmtId="3" fontId="0" fillId="0" borderId="30" xfId="0" applyNumberFormat="1" applyBorder="1"/>
    <xf numFmtId="0" fontId="6" fillId="0" borderId="12" xfId="0" applyFont="1" applyBorder="1" applyAlignment="1">
      <alignment wrapText="1"/>
    </xf>
    <xf numFmtId="0" fontId="0" fillId="0" borderId="23" xfId="0" applyBorder="1"/>
    <xf numFmtId="0" fontId="0" fillId="0" borderId="34" xfId="0" applyBorder="1"/>
    <xf numFmtId="0" fontId="0" fillId="0" borderId="3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7" xfId="0" applyFont="1" applyBorder="1"/>
    <xf numFmtId="0" fontId="0" fillId="0" borderId="24" xfId="0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37" xfId="0" applyNumberFormat="1" applyBorder="1"/>
    <xf numFmtId="0" fontId="0" fillId="0" borderId="38" xfId="0" applyBorder="1"/>
    <xf numFmtId="3" fontId="7" fillId="10" borderId="19" xfId="0" applyNumberFormat="1" applyFont="1" applyFill="1" applyBorder="1" applyProtection="1">
      <protection hidden="1"/>
    </xf>
    <xf numFmtId="3" fontId="0" fillId="9" borderId="13" xfId="0" applyNumberFormat="1" applyFill="1" applyBorder="1" applyProtection="1">
      <protection locked="0"/>
    </xf>
    <xf numFmtId="3" fontId="0" fillId="9" borderId="16" xfId="0" applyNumberFormat="1" applyFill="1" applyBorder="1" applyProtection="1">
      <protection locked="0"/>
    </xf>
    <xf numFmtId="3" fontId="0" fillId="9" borderId="19" xfId="0" applyNumberFormat="1" applyFill="1" applyBorder="1" applyProtection="1">
      <protection locked="0"/>
    </xf>
    <xf numFmtId="0" fontId="0" fillId="9" borderId="17" xfId="0" applyFill="1" applyBorder="1" applyProtection="1">
      <protection locked="0"/>
    </xf>
    <xf numFmtId="0" fontId="0" fillId="9" borderId="17" xfId="0" applyFill="1" applyBorder="1" applyAlignment="1" applyProtection="1">
      <alignment wrapText="1"/>
      <protection locked="0"/>
    </xf>
    <xf numFmtId="0" fontId="0" fillId="9" borderId="16" xfId="0" applyFill="1" applyBorder="1" applyProtection="1">
      <protection locked="0"/>
    </xf>
    <xf numFmtId="164" fontId="0" fillId="9" borderId="19" xfId="0" applyNumberFormat="1" applyFill="1" applyBorder="1" applyProtection="1">
      <protection locked="0"/>
    </xf>
    <xf numFmtId="0" fontId="0" fillId="9" borderId="14" xfId="0" applyFill="1" applyBorder="1" applyProtection="1">
      <protection locked="0"/>
    </xf>
    <xf numFmtId="0" fontId="0" fillId="9" borderId="20" xfId="0" applyFill="1" applyBorder="1" applyProtection="1">
      <protection locked="0"/>
    </xf>
    <xf numFmtId="0" fontId="4" fillId="6" borderId="4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3" fontId="0" fillId="0" borderId="0" xfId="0" applyNumberFormat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31" xfId="0" applyBorder="1"/>
    <xf numFmtId="3" fontId="0" fillId="0" borderId="32" xfId="0" applyNumberFormat="1" applyBorder="1"/>
    <xf numFmtId="0" fontId="0" fillId="0" borderId="33" xfId="0" applyBorder="1"/>
    <xf numFmtId="0" fontId="0" fillId="0" borderId="3" xfId="0" applyBorder="1"/>
    <xf numFmtId="0" fontId="0" fillId="0" borderId="1" xfId="0" applyBorder="1"/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4" borderId="1" xfId="0" applyFont="1" applyFill="1" applyBorder="1" applyAlignment="1">
      <alignment wrapText="1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opLeftCell="A3" zoomScaleNormal="100" workbookViewId="0">
      <selection activeCell="I11" sqref="I11"/>
    </sheetView>
  </sheetViews>
  <sheetFormatPr defaultRowHeight="14"/>
  <cols>
    <col min="1" max="1" width="10.58203125" customWidth="1"/>
    <col min="2" max="2" width="13.5" customWidth="1"/>
    <col min="3" max="5" width="15" customWidth="1"/>
    <col min="6" max="6" width="20.4140625" customWidth="1"/>
    <col min="7" max="7" width="3.58203125" customWidth="1"/>
    <col min="8" max="8" width="22.25" customWidth="1"/>
    <col min="9" max="9" width="38.4140625" customWidth="1"/>
    <col min="10" max="17" width="15" customWidth="1"/>
  </cols>
  <sheetData>
    <row r="1" spans="1:19" ht="18">
      <c r="A1" s="105" t="s">
        <v>0</v>
      </c>
      <c r="B1" s="106"/>
      <c r="C1" s="106"/>
      <c r="D1" s="106"/>
      <c r="E1" s="106"/>
      <c r="F1" s="107"/>
      <c r="G1" s="9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1"/>
      <c r="B2" s="11"/>
      <c r="C2" s="11"/>
      <c r="D2" s="11"/>
      <c r="E2" s="11"/>
      <c r="F2" s="11"/>
      <c r="G2" s="12"/>
      <c r="H2" s="12"/>
      <c r="I2" s="1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42">
      <c r="A3" s="14" t="s">
        <v>1</v>
      </c>
      <c r="B3" s="15" t="s">
        <v>2</v>
      </c>
      <c r="C3" s="16" t="s">
        <v>3</v>
      </c>
      <c r="D3" s="17" t="s">
        <v>4</v>
      </c>
      <c r="E3" s="16" t="s">
        <v>5</v>
      </c>
      <c r="F3" s="16" t="s">
        <v>6</v>
      </c>
      <c r="G3" s="18"/>
      <c r="H3" s="16" t="s">
        <v>7</v>
      </c>
      <c r="I3" s="19" t="s">
        <v>8</v>
      </c>
      <c r="J3" s="9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1" t="s">
        <v>9</v>
      </c>
      <c r="B4" s="96">
        <v>0</v>
      </c>
      <c r="C4" s="96">
        <v>0</v>
      </c>
      <c r="D4" s="40">
        <f>B4+C4</f>
        <v>0</v>
      </c>
      <c r="E4" s="22" t="s">
        <v>10</v>
      </c>
      <c r="F4" s="103" t="s">
        <v>11</v>
      </c>
      <c r="G4" s="29"/>
      <c r="H4" s="31" t="s">
        <v>12</v>
      </c>
      <c r="I4" s="23" t="s">
        <v>13</v>
      </c>
      <c r="J4" s="9"/>
      <c r="K4" s="2"/>
      <c r="L4" s="2"/>
      <c r="M4" s="2"/>
      <c r="N4" s="2"/>
      <c r="O4" s="2"/>
      <c r="P4" s="2"/>
      <c r="Q4" s="2"/>
    </row>
    <row r="5" spans="1:19">
      <c r="A5" s="24" t="s">
        <v>14</v>
      </c>
      <c r="B5" s="97">
        <v>0</v>
      </c>
      <c r="C5" s="97">
        <v>0</v>
      </c>
      <c r="D5" s="41">
        <f t="shared" ref="D5:D13" si="0">B5+C5</f>
        <v>0</v>
      </c>
      <c r="E5" s="25" t="s">
        <v>10</v>
      </c>
      <c r="F5" s="99" t="s">
        <v>11</v>
      </c>
      <c r="G5" s="30"/>
      <c r="H5" s="27" t="s">
        <v>15</v>
      </c>
      <c r="I5" s="26" t="s">
        <v>16</v>
      </c>
      <c r="J5" s="9"/>
      <c r="K5" s="2"/>
      <c r="L5" s="2"/>
      <c r="M5" s="2"/>
      <c r="N5" s="2"/>
      <c r="O5" s="2"/>
      <c r="P5" s="2"/>
      <c r="Q5" s="2"/>
    </row>
    <row r="6" spans="1:19">
      <c r="A6" s="24" t="s">
        <v>17</v>
      </c>
      <c r="B6" s="97">
        <v>0</v>
      </c>
      <c r="C6" s="97">
        <v>0</v>
      </c>
      <c r="D6" s="41">
        <f t="shared" si="0"/>
        <v>0</v>
      </c>
      <c r="E6" s="25" t="s">
        <v>10</v>
      </c>
      <c r="F6" s="99" t="s">
        <v>18</v>
      </c>
      <c r="G6" s="30"/>
      <c r="H6" s="27" t="s">
        <v>19</v>
      </c>
      <c r="I6" s="26" t="s">
        <v>20</v>
      </c>
      <c r="J6" s="9"/>
      <c r="K6" s="2"/>
      <c r="L6" s="2"/>
      <c r="M6" s="2"/>
      <c r="N6" s="2"/>
      <c r="O6" s="2"/>
      <c r="P6" s="2"/>
      <c r="Q6" s="2"/>
    </row>
    <row r="7" spans="1:19">
      <c r="A7" s="24" t="s">
        <v>21</v>
      </c>
      <c r="B7" s="97">
        <v>0</v>
      </c>
      <c r="C7" s="97">
        <v>0</v>
      </c>
      <c r="D7" s="41">
        <f t="shared" si="0"/>
        <v>0</v>
      </c>
      <c r="E7" s="25" t="s">
        <v>10</v>
      </c>
      <c r="F7" s="99" t="s">
        <v>18</v>
      </c>
      <c r="G7" s="30"/>
      <c r="H7" s="27" t="s">
        <v>22</v>
      </c>
      <c r="I7" s="26">
        <f>SUM(C4:C14)</f>
        <v>0</v>
      </c>
      <c r="J7" s="9"/>
      <c r="K7" s="2"/>
      <c r="L7" s="2"/>
      <c r="M7" s="2"/>
      <c r="N7" s="2"/>
      <c r="O7" s="2"/>
      <c r="P7" s="2"/>
      <c r="Q7" s="2"/>
    </row>
    <row r="8" spans="1:19">
      <c r="A8" s="24" t="s">
        <v>23</v>
      </c>
      <c r="B8" s="97">
        <v>0</v>
      </c>
      <c r="C8" s="97">
        <v>0</v>
      </c>
      <c r="D8" s="41">
        <f t="shared" si="0"/>
        <v>0</v>
      </c>
      <c r="E8" s="25" t="s">
        <v>10</v>
      </c>
      <c r="F8" s="99" t="s">
        <v>11</v>
      </c>
      <c r="G8" s="30"/>
      <c r="H8" s="27" t="s">
        <v>24</v>
      </c>
      <c r="I8" s="32" t="str">
        <f>IF(I7=C15,"OK","Check receipt-year arrears")</f>
        <v>OK</v>
      </c>
      <c r="J8" s="9"/>
      <c r="K8" s="2"/>
      <c r="L8" s="2"/>
      <c r="M8" s="2"/>
      <c r="N8" s="2"/>
      <c r="O8" s="2"/>
      <c r="P8" s="2"/>
      <c r="Q8" s="2"/>
    </row>
    <row r="9" spans="1:19">
      <c r="A9" s="24" t="s">
        <v>25</v>
      </c>
      <c r="B9" s="97">
        <v>0</v>
      </c>
      <c r="C9" s="97">
        <v>0</v>
      </c>
      <c r="D9" s="41">
        <f t="shared" si="0"/>
        <v>0</v>
      </c>
      <c r="E9" s="25" t="s">
        <v>10</v>
      </c>
      <c r="F9" s="99" t="s">
        <v>11</v>
      </c>
      <c r="G9" s="30"/>
      <c r="H9" s="33"/>
      <c r="I9" s="34"/>
      <c r="J9" s="9"/>
      <c r="K9" s="2"/>
      <c r="L9" s="2"/>
      <c r="M9" s="2"/>
      <c r="N9" s="2"/>
      <c r="O9" s="2"/>
      <c r="P9" s="2"/>
      <c r="Q9" s="2"/>
    </row>
    <row r="10" spans="1:19">
      <c r="A10" s="24" t="s">
        <v>26</v>
      </c>
      <c r="B10" s="97">
        <v>0</v>
      </c>
      <c r="C10" s="97">
        <v>0</v>
      </c>
      <c r="D10" s="41">
        <f t="shared" si="0"/>
        <v>0</v>
      </c>
      <c r="E10" s="101" t="s">
        <v>10</v>
      </c>
      <c r="F10" s="99" t="s">
        <v>18</v>
      </c>
      <c r="G10" s="30"/>
      <c r="H10" s="35" t="s">
        <v>27</v>
      </c>
      <c r="I10" s="36"/>
      <c r="J10" s="9"/>
      <c r="K10" s="2"/>
      <c r="L10" s="2"/>
      <c r="M10" s="2"/>
      <c r="N10" s="2"/>
      <c r="O10" s="2"/>
      <c r="P10" s="2"/>
      <c r="Q10" s="2"/>
    </row>
    <row r="11" spans="1:19">
      <c r="A11" s="24" t="s">
        <v>28</v>
      </c>
      <c r="B11" s="97">
        <v>0</v>
      </c>
      <c r="C11" s="97">
        <v>0</v>
      </c>
      <c r="D11" s="41">
        <f t="shared" si="0"/>
        <v>0</v>
      </c>
      <c r="E11" s="101" t="s">
        <v>10</v>
      </c>
      <c r="F11" s="99" t="s">
        <v>18</v>
      </c>
      <c r="G11" s="30"/>
      <c r="H11" s="37" t="s">
        <v>29</v>
      </c>
      <c r="I11" s="99"/>
      <c r="J11" s="9"/>
      <c r="K11" s="2"/>
      <c r="L11" s="2"/>
      <c r="M11" s="2"/>
      <c r="N11" s="2"/>
      <c r="O11" s="2"/>
      <c r="P11" s="2"/>
      <c r="Q11" s="2"/>
    </row>
    <row r="12" spans="1:19">
      <c r="A12" s="24" t="s">
        <v>30</v>
      </c>
      <c r="B12" s="97">
        <v>0</v>
      </c>
      <c r="C12" s="97">
        <v>0</v>
      </c>
      <c r="D12" s="41">
        <f t="shared" si="0"/>
        <v>0</v>
      </c>
      <c r="E12" s="101" t="s">
        <v>33</v>
      </c>
      <c r="F12" s="99" t="s">
        <v>18</v>
      </c>
      <c r="G12" s="30"/>
      <c r="H12" s="37" t="s">
        <v>31</v>
      </c>
      <c r="I12" s="99"/>
      <c r="J12" s="9"/>
      <c r="K12" s="2"/>
      <c r="L12" s="2"/>
      <c r="M12" s="2"/>
      <c r="N12" s="2"/>
      <c r="O12" s="2"/>
      <c r="P12" s="2"/>
      <c r="Q12" s="2"/>
    </row>
    <row r="13" spans="1:19">
      <c r="A13" s="24" t="s">
        <v>32</v>
      </c>
      <c r="B13" s="97">
        <v>0</v>
      </c>
      <c r="C13" s="97">
        <v>0</v>
      </c>
      <c r="D13" s="41">
        <f t="shared" si="0"/>
        <v>0</v>
      </c>
      <c r="E13" s="101" t="s">
        <v>33</v>
      </c>
      <c r="F13" s="99" t="s">
        <v>18</v>
      </c>
      <c r="G13" s="30"/>
      <c r="H13" s="37" t="s">
        <v>34</v>
      </c>
      <c r="I13" s="100"/>
      <c r="J13" s="9"/>
      <c r="K13" s="2"/>
      <c r="L13" s="2"/>
      <c r="M13" s="2"/>
      <c r="N13" s="2"/>
      <c r="O13" s="2"/>
      <c r="P13" s="2"/>
      <c r="Q13" s="2"/>
    </row>
    <row r="14" spans="1:19">
      <c r="A14" s="27" t="s">
        <v>35</v>
      </c>
      <c r="B14" s="97">
        <v>0</v>
      </c>
      <c r="C14" s="97">
        <v>0</v>
      </c>
      <c r="D14" s="41">
        <f>B14+C14</f>
        <v>0</v>
      </c>
      <c r="E14" s="101" t="s">
        <v>33</v>
      </c>
      <c r="F14" s="99" t="s">
        <v>18</v>
      </c>
      <c r="G14" s="30"/>
      <c r="H14" s="38" t="s">
        <v>24</v>
      </c>
      <c r="I14" s="42" t="s">
        <v>36</v>
      </c>
      <c r="J14" s="9"/>
      <c r="K14" s="2"/>
      <c r="L14" s="2"/>
      <c r="M14" s="2"/>
      <c r="N14" s="2"/>
      <c r="O14" s="2"/>
      <c r="P14" s="2"/>
      <c r="Q14" s="2"/>
    </row>
    <row r="15" spans="1:19">
      <c r="A15" s="28" t="s">
        <v>13</v>
      </c>
      <c r="B15" s="98">
        <v>0</v>
      </c>
      <c r="C15" s="95">
        <f>SUM(C4:C14)</f>
        <v>0</v>
      </c>
      <c r="D15" s="39">
        <f>B15+C15</f>
        <v>0</v>
      </c>
      <c r="E15" s="102" t="s">
        <v>33</v>
      </c>
      <c r="F15" s="104" t="s">
        <v>18</v>
      </c>
      <c r="G15" s="9"/>
      <c r="H15" s="10"/>
      <c r="I15" s="2"/>
      <c r="J15" s="2"/>
      <c r="K15" s="2"/>
      <c r="L15" s="2"/>
      <c r="M15" s="2"/>
      <c r="N15" s="2"/>
      <c r="O15" s="2"/>
      <c r="P15" s="2"/>
      <c r="Q15" s="2"/>
    </row>
    <row r="16" spans="1:19">
      <c r="A16" s="13"/>
      <c r="B16" s="10"/>
      <c r="C16" s="10"/>
      <c r="D16" s="10"/>
      <c r="E16" s="20"/>
      <c r="F16" s="1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8" t="s">
        <v>37</v>
      </c>
      <c r="B17" s="2"/>
      <c r="C17" s="2"/>
      <c r="D17" s="2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4"/>
      <c r="D20" s="5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5"/>
      <c r="C23" s="2"/>
      <c r="D23" s="2"/>
      <c r="E23" s="2"/>
      <c r="F23" s="2"/>
      <c r="G23" s="5"/>
      <c r="H23" s="5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5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</sheetData>
  <sheetProtection algorithmName="SHA-512" hashValue="b2T5ixSr/QSQV/j3Om3VhvApmpjpcH6zmFoJXWkRJYDsbunGsPfBoDFRoj0URnH3YU/1nmocl/cda1PuqQaglQ==" saltValue="4TlLQRfIX7eDtIfiyayD9g==" spinCount="100000" sheet="1" objects="1" scenarios="1" selectLockedCells="1"/>
  <mergeCells count="1">
    <mergeCell ref="A1:F1"/>
  </mergeCells>
  <dataValidations count="2">
    <dataValidation type="list" sqref="E4:E15" xr:uid="{00000000-0002-0000-0000-000000000000}">
      <formula1>"OLD,NEW"</formula1>
    </dataValidation>
    <dataValidation type="list" sqref="F4:F15" xr:uid="{00000000-0002-0000-0000-000001000000}">
      <formula1>"Resident-Normal Citizen,Resident-Senior Citizen"</formula1>
    </dataValidation>
  </dataValidation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5"/>
  <sheetViews>
    <sheetView topLeftCell="A15" zoomScaleNormal="100" workbookViewId="0">
      <selection activeCell="I8" sqref="I8"/>
    </sheetView>
  </sheetViews>
  <sheetFormatPr defaultRowHeight="14"/>
  <cols>
    <col min="1" max="1" width="17.58203125" customWidth="1"/>
    <col min="2" max="2" width="10.75" customWidth="1"/>
    <col min="3" max="3" width="11" customWidth="1"/>
    <col min="4" max="4" width="10.83203125" customWidth="1"/>
    <col min="5" max="5" width="8" customWidth="1"/>
    <col min="6" max="6" width="11.33203125" customWidth="1"/>
    <col min="7" max="7" width="10.5" customWidth="1"/>
    <col min="8" max="8" width="10.58203125" customWidth="1"/>
    <col min="9" max="10" width="9.75" customWidth="1"/>
    <col min="11" max="11" width="10.9140625" customWidth="1"/>
    <col min="12" max="12" width="9.4140625" customWidth="1"/>
    <col min="13" max="13" width="7.75" customWidth="1"/>
    <col min="14" max="15" width="10.1640625" customWidth="1"/>
    <col min="16" max="16" width="10.6640625" customWidth="1"/>
    <col min="17" max="17" width="11.1640625" customWidth="1"/>
  </cols>
  <sheetData>
    <row r="1" spans="1:17" ht="18">
      <c r="A1" s="108" t="s">
        <v>38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0"/>
    </row>
    <row r="2" spans="1:17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39.4" customHeight="1">
      <c r="A3" s="44" t="s">
        <v>39</v>
      </c>
      <c r="B3" s="45" t="s">
        <v>40</v>
      </c>
      <c r="C3" s="46" t="s">
        <v>41</v>
      </c>
      <c r="D3" s="18" t="s">
        <v>42</v>
      </c>
      <c r="E3" s="18" t="s">
        <v>43</v>
      </c>
      <c r="F3" s="18" t="s">
        <v>6</v>
      </c>
      <c r="G3" s="18" t="s">
        <v>44</v>
      </c>
      <c r="H3" s="18" t="s">
        <v>45</v>
      </c>
      <c r="I3" s="18" t="s">
        <v>46</v>
      </c>
      <c r="J3" s="18" t="s">
        <v>47</v>
      </c>
      <c r="K3" s="18" t="s">
        <v>48</v>
      </c>
      <c r="L3" s="18" t="s">
        <v>49</v>
      </c>
      <c r="M3" s="18" t="s">
        <v>50</v>
      </c>
      <c r="N3" s="18" t="s">
        <v>51</v>
      </c>
      <c r="O3" s="18" t="s">
        <v>52</v>
      </c>
      <c r="P3" s="18" t="s">
        <v>53</v>
      </c>
      <c r="Q3" s="19" t="s">
        <v>54</v>
      </c>
    </row>
    <row r="4" spans="1:17" ht="25.5">
      <c r="A4" s="47" t="str">
        <f>Source_Data!A4</f>
        <v>2014-15</v>
      </c>
      <c r="B4" s="48">
        <f>Source_Data!B4</f>
        <v>0</v>
      </c>
      <c r="C4" s="48">
        <f>Source_Data!C4</f>
        <v>0</v>
      </c>
      <c r="D4" s="48">
        <f>Source_Data!D4</f>
        <v>0</v>
      </c>
      <c r="E4" s="48" t="str">
        <f>Source_Data!E4</f>
        <v>OLD</v>
      </c>
      <c r="F4" s="49" t="str">
        <f>Source_Data!F4</f>
        <v>Resident-Normal Citizen</v>
      </c>
      <c r="G4" s="48">
        <f>Tax_Engine!G4</f>
        <v>0</v>
      </c>
      <c r="H4" s="48">
        <f>Tax_Engine!H4</f>
        <v>0</v>
      </c>
      <c r="I4" s="48">
        <f>Tax_Engine!I4</f>
        <v>0</v>
      </c>
      <c r="J4" s="48">
        <f>Tax_Engine!J4</f>
        <v>0</v>
      </c>
      <c r="K4" s="48">
        <f t="shared" ref="K4:K13" si="0">ROUND(G4-H4+I4+J4,2)</f>
        <v>0</v>
      </c>
      <c r="L4" s="48">
        <f>Tax_Engine!L4</f>
        <v>0</v>
      </c>
      <c r="M4" s="48">
        <f>Tax_Engine!M4</f>
        <v>0</v>
      </c>
      <c r="N4" s="48">
        <f>Tax_Engine!N4</f>
        <v>0</v>
      </c>
      <c r="O4" s="48">
        <f>Tax_Engine!O4</f>
        <v>0</v>
      </c>
      <c r="P4" s="48">
        <f t="shared" ref="P4:P13" si="1">ROUND(L4-M4+N4+O4,2)</f>
        <v>0</v>
      </c>
      <c r="Q4" s="50">
        <f t="shared" ref="Q4:Q13" si="2">ROUND(P4-K4,2)</f>
        <v>0</v>
      </c>
    </row>
    <row r="5" spans="1:17" ht="25.5">
      <c r="A5" s="51" t="str">
        <f>Source_Data!A5</f>
        <v>2015-16</v>
      </c>
      <c r="B5" s="52">
        <f>Source_Data!B5</f>
        <v>0</v>
      </c>
      <c r="C5" s="52">
        <f>Source_Data!C5</f>
        <v>0</v>
      </c>
      <c r="D5" s="52">
        <f>Source_Data!D5</f>
        <v>0</v>
      </c>
      <c r="E5" s="52" t="str">
        <f>Source_Data!E5</f>
        <v>OLD</v>
      </c>
      <c r="F5" s="53" t="str">
        <f>Source_Data!F5</f>
        <v>Resident-Normal Citizen</v>
      </c>
      <c r="G5" s="52">
        <f>Tax_Engine!G5</f>
        <v>0</v>
      </c>
      <c r="H5" s="52">
        <f>Tax_Engine!H5</f>
        <v>0</v>
      </c>
      <c r="I5" s="52">
        <f>Tax_Engine!I5</f>
        <v>0</v>
      </c>
      <c r="J5" s="52">
        <f>Tax_Engine!J5</f>
        <v>0</v>
      </c>
      <c r="K5" s="52">
        <f t="shared" si="0"/>
        <v>0</v>
      </c>
      <c r="L5" s="52">
        <f>Tax_Engine!L5</f>
        <v>0</v>
      </c>
      <c r="M5" s="52">
        <f>Tax_Engine!M5</f>
        <v>0</v>
      </c>
      <c r="N5" s="52">
        <f>Tax_Engine!N5</f>
        <v>0</v>
      </c>
      <c r="O5" s="52">
        <f>Tax_Engine!O5</f>
        <v>0</v>
      </c>
      <c r="P5" s="52">
        <f t="shared" si="1"/>
        <v>0</v>
      </c>
      <c r="Q5" s="54">
        <f t="shared" si="2"/>
        <v>0</v>
      </c>
    </row>
    <row r="6" spans="1:17" ht="25.5">
      <c r="A6" s="51" t="str">
        <f>Source_Data!A6</f>
        <v>2016-17</v>
      </c>
      <c r="B6" s="52">
        <f>Source_Data!B6</f>
        <v>0</v>
      </c>
      <c r="C6" s="52">
        <f>Source_Data!C6</f>
        <v>0</v>
      </c>
      <c r="D6" s="52">
        <f>Source_Data!D6</f>
        <v>0</v>
      </c>
      <c r="E6" s="52" t="str">
        <f>Source_Data!E6</f>
        <v>OLD</v>
      </c>
      <c r="F6" s="53" t="str">
        <f>Source_Data!F6</f>
        <v>Resident-Senior Citizen</v>
      </c>
      <c r="G6" s="52">
        <f>Tax_Engine!G6</f>
        <v>0</v>
      </c>
      <c r="H6" s="52">
        <f>Tax_Engine!H6</f>
        <v>0</v>
      </c>
      <c r="I6" s="52">
        <f>Tax_Engine!I6</f>
        <v>0</v>
      </c>
      <c r="J6" s="52">
        <f>Tax_Engine!J6</f>
        <v>0</v>
      </c>
      <c r="K6" s="52">
        <f t="shared" si="0"/>
        <v>0</v>
      </c>
      <c r="L6" s="52">
        <f>Tax_Engine!L6</f>
        <v>0</v>
      </c>
      <c r="M6" s="52">
        <f>Tax_Engine!M6</f>
        <v>0</v>
      </c>
      <c r="N6" s="52">
        <f>Tax_Engine!N6</f>
        <v>0</v>
      </c>
      <c r="O6" s="52">
        <f>Tax_Engine!O6</f>
        <v>0</v>
      </c>
      <c r="P6" s="52">
        <f t="shared" si="1"/>
        <v>0</v>
      </c>
      <c r="Q6" s="54">
        <f t="shared" si="2"/>
        <v>0</v>
      </c>
    </row>
    <row r="7" spans="1:17" ht="25.5">
      <c r="A7" s="51" t="str">
        <f>Source_Data!A7</f>
        <v>2017-18</v>
      </c>
      <c r="B7" s="52">
        <f>Source_Data!B7</f>
        <v>0</v>
      </c>
      <c r="C7" s="52">
        <f>Source_Data!C7</f>
        <v>0</v>
      </c>
      <c r="D7" s="52">
        <f>Source_Data!D7</f>
        <v>0</v>
      </c>
      <c r="E7" s="52" t="str">
        <f>Source_Data!E7</f>
        <v>OLD</v>
      </c>
      <c r="F7" s="53" t="str">
        <f>Source_Data!F7</f>
        <v>Resident-Senior Citizen</v>
      </c>
      <c r="G7" s="52">
        <f>Tax_Engine!G7</f>
        <v>0</v>
      </c>
      <c r="H7" s="52">
        <f>Tax_Engine!H7</f>
        <v>0</v>
      </c>
      <c r="I7" s="52">
        <f>Tax_Engine!I7</f>
        <v>0</v>
      </c>
      <c r="J7" s="52">
        <f>Tax_Engine!J7</f>
        <v>0</v>
      </c>
      <c r="K7" s="52">
        <f t="shared" si="0"/>
        <v>0</v>
      </c>
      <c r="L7" s="52">
        <f>Tax_Engine!L7</f>
        <v>0</v>
      </c>
      <c r="M7" s="52">
        <f>Tax_Engine!M7</f>
        <v>0</v>
      </c>
      <c r="N7" s="52">
        <f>Tax_Engine!N7</f>
        <v>0</v>
      </c>
      <c r="O7" s="52">
        <f>Tax_Engine!O7</f>
        <v>0</v>
      </c>
      <c r="P7" s="52">
        <f t="shared" si="1"/>
        <v>0</v>
      </c>
      <c r="Q7" s="54">
        <f t="shared" si="2"/>
        <v>0</v>
      </c>
    </row>
    <row r="8" spans="1:17" ht="25.5">
      <c r="A8" s="51" t="str">
        <f>Source_Data!A8</f>
        <v>2018-19</v>
      </c>
      <c r="B8" s="52">
        <f>Source_Data!B8</f>
        <v>0</v>
      </c>
      <c r="C8" s="52">
        <f>Source_Data!C8</f>
        <v>0</v>
      </c>
      <c r="D8" s="52">
        <f>Source_Data!D8</f>
        <v>0</v>
      </c>
      <c r="E8" s="52" t="str">
        <f>Source_Data!E8</f>
        <v>OLD</v>
      </c>
      <c r="F8" s="53" t="str">
        <f>Source_Data!F8</f>
        <v>Resident-Normal Citizen</v>
      </c>
      <c r="G8" s="52">
        <f>Tax_Engine!G8</f>
        <v>0</v>
      </c>
      <c r="H8" s="52">
        <f>Tax_Engine!H8</f>
        <v>0</v>
      </c>
      <c r="I8" s="52">
        <f>Tax_Engine!I8</f>
        <v>0</v>
      </c>
      <c r="J8" s="52">
        <f>Tax_Engine!J8</f>
        <v>0</v>
      </c>
      <c r="K8" s="52">
        <f t="shared" si="0"/>
        <v>0</v>
      </c>
      <c r="L8" s="52">
        <f>Tax_Engine!L8</f>
        <v>0</v>
      </c>
      <c r="M8" s="52">
        <f>Tax_Engine!M8</f>
        <v>0</v>
      </c>
      <c r="N8" s="52">
        <f>Tax_Engine!N8</f>
        <v>0</v>
      </c>
      <c r="O8" s="52">
        <f>Tax_Engine!O8</f>
        <v>0</v>
      </c>
      <c r="P8" s="52">
        <f t="shared" si="1"/>
        <v>0</v>
      </c>
      <c r="Q8" s="54">
        <f t="shared" si="2"/>
        <v>0</v>
      </c>
    </row>
    <row r="9" spans="1:17" ht="25.5">
      <c r="A9" s="51" t="str">
        <f>Source_Data!A9</f>
        <v>2019-20</v>
      </c>
      <c r="B9" s="52">
        <f>Source_Data!B9</f>
        <v>0</v>
      </c>
      <c r="C9" s="52">
        <f>Source_Data!C9</f>
        <v>0</v>
      </c>
      <c r="D9" s="52">
        <f>Source_Data!D9</f>
        <v>0</v>
      </c>
      <c r="E9" s="52" t="str">
        <f>Source_Data!E9</f>
        <v>OLD</v>
      </c>
      <c r="F9" s="53" t="str">
        <f>Source_Data!F9</f>
        <v>Resident-Normal Citizen</v>
      </c>
      <c r="G9" s="52">
        <f>Tax_Engine!G9</f>
        <v>0</v>
      </c>
      <c r="H9" s="52">
        <f>Tax_Engine!H9</f>
        <v>0</v>
      </c>
      <c r="I9" s="52">
        <f>Tax_Engine!I9</f>
        <v>0</v>
      </c>
      <c r="J9" s="52">
        <f>Tax_Engine!J9</f>
        <v>0</v>
      </c>
      <c r="K9" s="52">
        <f t="shared" si="0"/>
        <v>0</v>
      </c>
      <c r="L9" s="52">
        <f>Tax_Engine!L9</f>
        <v>0</v>
      </c>
      <c r="M9" s="52">
        <f>Tax_Engine!M9</f>
        <v>0</v>
      </c>
      <c r="N9" s="52">
        <f>Tax_Engine!N9</f>
        <v>0</v>
      </c>
      <c r="O9" s="52">
        <f>Tax_Engine!O9</f>
        <v>0</v>
      </c>
      <c r="P9" s="52">
        <f t="shared" si="1"/>
        <v>0</v>
      </c>
      <c r="Q9" s="54">
        <f t="shared" si="2"/>
        <v>0</v>
      </c>
    </row>
    <row r="10" spans="1:17" ht="25.5">
      <c r="A10" s="51" t="str">
        <f>Source_Data!A10</f>
        <v>2020-21</v>
      </c>
      <c r="B10" s="52">
        <f>Source_Data!B10</f>
        <v>0</v>
      </c>
      <c r="C10" s="52">
        <f>Source_Data!C10</f>
        <v>0</v>
      </c>
      <c r="D10" s="52">
        <f>Source_Data!D10</f>
        <v>0</v>
      </c>
      <c r="E10" s="52" t="str">
        <f>Source_Data!E10</f>
        <v>OLD</v>
      </c>
      <c r="F10" s="53" t="str">
        <f>Source_Data!F10</f>
        <v>Resident-Senior Citizen</v>
      </c>
      <c r="G10" s="52">
        <f>Tax_Engine!G10</f>
        <v>0</v>
      </c>
      <c r="H10" s="52">
        <f>Tax_Engine!H10</f>
        <v>0</v>
      </c>
      <c r="I10" s="52">
        <f>Tax_Engine!I10</f>
        <v>0</v>
      </c>
      <c r="J10" s="52">
        <f>Tax_Engine!J10</f>
        <v>0</v>
      </c>
      <c r="K10" s="52">
        <f t="shared" si="0"/>
        <v>0</v>
      </c>
      <c r="L10" s="52">
        <f>Tax_Engine!L10</f>
        <v>0</v>
      </c>
      <c r="M10" s="52">
        <f>Tax_Engine!M10</f>
        <v>0</v>
      </c>
      <c r="N10" s="52">
        <f>Tax_Engine!N10</f>
        <v>0</v>
      </c>
      <c r="O10" s="52">
        <f>Tax_Engine!O10</f>
        <v>0</v>
      </c>
      <c r="P10" s="52">
        <f t="shared" si="1"/>
        <v>0</v>
      </c>
      <c r="Q10" s="54">
        <f t="shared" si="2"/>
        <v>0</v>
      </c>
    </row>
    <row r="11" spans="1:17" ht="25.5">
      <c r="A11" s="51" t="str">
        <f>Source_Data!A11</f>
        <v>2021-22</v>
      </c>
      <c r="B11" s="52">
        <f>Source_Data!B11</f>
        <v>0</v>
      </c>
      <c r="C11" s="52">
        <f>Source_Data!C11</f>
        <v>0</v>
      </c>
      <c r="D11" s="52">
        <f>Source_Data!D11</f>
        <v>0</v>
      </c>
      <c r="E11" s="52" t="str">
        <f>Source_Data!E11</f>
        <v>OLD</v>
      </c>
      <c r="F11" s="53" t="str">
        <f>Source_Data!F11</f>
        <v>Resident-Senior Citizen</v>
      </c>
      <c r="G11" s="52">
        <f>Tax_Engine!G11</f>
        <v>0</v>
      </c>
      <c r="H11" s="52">
        <f>Tax_Engine!H11</f>
        <v>0</v>
      </c>
      <c r="I11" s="52">
        <f>Tax_Engine!I11</f>
        <v>0</v>
      </c>
      <c r="J11" s="52">
        <f>Tax_Engine!J11</f>
        <v>0</v>
      </c>
      <c r="K11" s="52">
        <f t="shared" si="0"/>
        <v>0</v>
      </c>
      <c r="L11" s="52">
        <f>Tax_Engine!L11</f>
        <v>0</v>
      </c>
      <c r="M11" s="52">
        <f>Tax_Engine!M11</f>
        <v>0</v>
      </c>
      <c r="N11" s="52">
        <f>Tax_Engine!N11</f>
        <v>0</v>
      </c>
      <c r="O11" s="52">
        <f>Tax_Engine!O11</f>
        <v>0</v>
      </c>
      <c r="P11" s="52">
        <f t="shared" si="1"/>
        <v>0</v>
      </c>
      <c r="Q11" s="54">
        <f t="shared" si="2"/>
        <v>0</v>
      </c>
    </row>
    <row r="12" spans="1:17" ht="25.5">
      <c r="A12" s="51" t="str">
        <f>Source_Data!A12</f>
        <v>2022-23</v>
      </c>
      <c r="B12" s="52">
        <f>Source_Data!B12</f>
        <v>0</v>
      </c>
      <c r="C12" s="52">
        <f>Source_Data!C12</f>
        <v>0</v>
      </c>
      <c r="D12" s="52">
        <f>Source_Data!D12</f>
        <v>0</v>
      </c>
      <c r="E12" s="52" t="str">
        <f>Source_Data!E12</f>
        <v>NEW</v>
      </c>
      <c r="F12" s="53" t="str">
        <f>Source_Data!F12</f>
        <v>Resident-Senior Citizen</v>
      </c>
      <c r="G12" s="52">
        <f>Tax_Engine!G12</f>
        <v>0</v>
      </c>
      <c r="H12" s="52">
        <f>Tax_Engine!H12</f>
        <v>0</v>
      </c>
      <c r="I12" s="52">
        <f>Tax_Engine!I12</f>
        <v>0</v>
      </c>
      <c r="J12" s="52">
        <f>Tax_Engine!J12</f>
        <v>0</v>
      </c>
      <c r="K12" s="52">
        <f t="shared" si="0"/>
        <v>0</v>
      </c>
      <c r="L12" s="52">
        <f>Tax_Engine!L12</f>
        <v>0</v>
      </c>
      <c r="M12" s="52">
        <f>Tax_Engine!M12</f>
        <v>0</v>
      </c>
      <c r="N12" s="52">
        <f>Tax_Engine!N12</f>
        <v>0</v>
      </c>
      <c r="O12" s="52">
        <f>Tax_Engine!O12</f>
        <v>0</v>
      </c>
      <c r="P12" s="52">
        <f t="shared" si="1"/>
        <v>0</v>
      </c>
      <c r="Q12" s="54">
        <f t="shared" si="2"/>
        <v>0</v>
      </c>
    </row>
    <row r="13" spans="1:17" ht="25.5">
      <c r="A13" s="51" t="str">
        <f>Source_Data!A13</f>
        <v>2023-24</v>
      </c>
      <c r="B13" s="52">
        <f>Source_Data!B13</f>
        <v>0</v>
      </c>
      <c r="C13" s="52">
        <f>Source_Data!C13</f>
        <v>0</v>
      </c>
      <c r="D13" s="52">
        <f>Source_Data!D13</f>
        <v>0</v>
      </c>
      <c r="E13" s="52" t="str">
        <f>Source_Data!E13</f>
        <v>NEW</v>
      </c>
      <c r="F13" s="53" t="str">
        <f>Source_Data!F13</f>
        <v>Resident-Senior Citizen</v>
      </c>
      <c r="G13" s="52">
        <f>Tax_Engine!G13</f>
        <v>0</v>
      </c>
      <c r="H13" s="52">
        <f>Tax_Engine!H13</f>
        <v>0</v>
      </c>
      <c r="I13" s="52">
        <f>Tax_Engine!I13</f>
        <v>0</v>
      </c>
      <c r="J13" s="52">
        <f>Tax_Engine!J13</f>
        <v>0</v>
      </c>
      <c r="K13" s="52">
        <f t="shared" si="0"/>
        <v>0</v>
      </c>
      <c r="L13" s="52">
        <f>Tax_Engine!L13</f>
        <v>0</v>
      </c>
      <c r="M13" s="52">
        <f>Tax_Engine!M13</f>
        <v>0</v>
      </c>
      <c r="N13" s="52">
        <f>Tax_Engine!N13</f>
        <v>0</v>
      </c>
      <c r="O13" s="52">
        <f>Tax_Engine!O13</f>
        <v>0</v>
      </c>
      <c r="P13" s="52">
        <f t="shared" si="1"/>
        <v>0</v>
      </c>
      <c r="Q13" s="54">
        <f t="shared" si="2"/>
        <v>0</v>
      </c>
    </row>
    <row r="14" spans="1:17" ht="25.5">
      <c r="A14" s="51" t="str">
        <f>Source_Data!A14</f>
        <v>2024-25</v>
      </c>
      <c r="B14" s="52">
        <f>Source_Data!B14</f>
        <v>0</v>
      </c>
      <c r="C14" s="52">
        <f>Source_Data!C14</f>
        <v>0</v>
      </c>
      <c r="D14" s="52">
        <f>Source_Data!D14</f>
        <v>0</v>
      </c>
      <c r="E14" s="52" t="str">
        <f>Source_Data!E14</f>
        <v>NEW</v>
      </c>
      <c r="F14" s="53" t="str">
        <f>Source_Data!F14</f>
        <v>Resident-Senior Citizen</v>
      </c>
      <c r="G14" s="52">
        <f>Tax_Engine!G14</f>
        <v>0</v>
      </c>
      <c r="H14" s="52">
        <f>Tax_Engine!H14</f>
        <v>0</v>
      </c>
      <c r="I14" s="52">
        <f>Tax_Engine!I14</f>
        <v>0</v>
      </c>
      <c r="J14" s="52">
        <f>Tax_Engine!J14</f>
        <v>0</v>
      </c>
      <c r="K14" s="52">
        <f>ROUND(G14-H14+I14+J14,2)</f>
        <v>0</v>
      </c>
      <c r="L14" s="52">
        <f>Tax_Engine!L14</f>
        <v>0</v>
      </c>
      <c r="M14" s="52">
        <f>Tax_Engine!M14</f>
        <v>0</v>
      </c>
      <c r="N14" s="52">
        <f>Tax_Engine!N14</f>
        <v>0</v>
      </c>
      <c r="O14" s="52">
        <f>Tax_Engine!O14</f>
        <v>0</v>
      </c>
      <c r="P14" s="52">
        <f>ROUND(L14-M14+N14+O14,2)</f>
        <v>0</v>
      </c>
      <c r="Q14" s="54">
        <f>ROUND(P14-K14,2)</f>
        <v>0</v>
      </c>
    </row>
    <row r="15" spans="1:17" ht="25.5">
      <c r="A15" s="55" t="str">
        <f>Source_Data!A15</f>
        <v>2025-26</v>
      </c>
      <c r="B15" s="56">
        <f>Source_Data!B15</f>
        <v>0</v>
      </c>
      <c r="C15" s="56">
        <f>Source_Data!C15</f>
        <v>0</v>
      </c>
      <c r="D15" s="56">
        <f>Source_Data!D15</f>
        <v>0</v>
      </c>
      <c r="E15" s="56" t="str">
        <f>Source_Data!E15</f>
        <v>NEW</v>
      </c>
      <c r="F15" s="57" t="str">
        <f>Source_Data!F15</f>
        <v>Resident-Senior Citizen</v>
      </c>
      <c r="G15" s="56">
        <f>Tax_Engine!G15</f>
        <v>0</v>
      </c>
      <c r="H15" s="56">
        <f>Tax_Engine!H15</f>
        <v>0</v>
      </c>
      <c r="I15" s="56">
        <f>Tax_Engine!I15</f>
        <v>0</v>
      </c>
      <c r="J15" s="56">
        <f>Tax_Engine!J15</f>
        <v>0</v>
      </c>
      <c r="K15" s="56">
        <f>ROUND(G15-H15+I15+J15,2)</f>
        <v>0</v>
      </c>
      <c r="L15" s="56">
        <f>Tax_Engine!L15</f>
        <v>0</v>
      </c>
      <c r="M15" s="56">
        <f>Tax_Engine!M15</f>
        <v>0</v>
      </c>
      <c r="N15" s="56">
        <f>Tax_Engine!N15</f>
        <v>0</v>
      </c>
      <c r="O15" s="56">
        <f>Tax_Engine!O15</f>
        <v>0</v>
      </c>
      <c r="P15" s="56">
        <f>ROUND(L15-M15+N15+O15,2)</f>
        <v>0</v>
      </c>
      <c r="Q15" s="58">
        <f>ROUND(P15-K15,2)</f>
        <v>0</v>
      </c>
    </row>
    <row r="16" spans="1:17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</row>
    <row r="17" spans="1:17">
      <c r="A17" s="111"/>
      <c r="B17" s="111"/>
      <c r="C17" s="111"/>
      <c r="D17" s="111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spans="1:17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spans="1:17">
      <c r="A19" s="63" t="s">
        <v>55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</row>
    <row r="20" spans="1:17">
      <c r="A20" s="47" t="s">
        <v>56</v>
      </c>
      <c r="B20" s="50" t="str">
        <f>Source_Data!I4</f>
        <v>2025-26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</row>
    <row r="21" spans="1:17">
      <c r="A21" s="51" t="s">
        <v>15</v>
      </c>
      <c r="B21" s="54" t="str">
        <f>Source_Data!I5</f>
        <v>2026-27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spans="1:17" ht="28">
      <c r="A22" s="59" t="s">
        <v>57</v>
      </c>
      <c r="B22" s="54">
        <f>Q15</f>
        <v>0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</row>
    <row r="23" spans="1:17" ht="42">
      <c r="A23" s="59" t="s">
        <v>58</v>
      </c>
      <c r="B23" s="54">
        <f>SUM(Q4:Q14)</f>
        <v>0</v>
      </c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</row>
    <row r="24" spans="1:17">
      <c r="A24" s="59" t="s">
        <v>59</v>
      </c>
      <c r="B24" s="54">
        <f>MAX(0,B22-B23)</f>
        <v>0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</row>
    <row r="25" spans="1:17" ht="28">
      <c r="A25" s="60" t="s">
        <v>60</v>
      </c>
      <c r="B25" s="58">
        <f>P15-B24</f>
        <v>0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spans="1:17">
      <c r="A26" s="43"/>
      <c r="B26" s="43"/>
      <c r="C26" s="64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</row>
    <row r="27" spans="1:17">
      <c r="A27" s="4"/>
      <c r="B27" s="4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</sheetData>
  <sheetProtection algorithmName="SHA-512" hashValue="uKZ4RfyPuLgMHt118rRsLbHQm5chzTyad/RN/IL+J+YUkHfA4cJIloYvpIvkbOOcU8GDr25aZgAkZLQq9Li3jw==" saltValue="/YMMvbxWJCrqd8YkqRTCuA==" spinCount="100000" sheet="1" objects="1" scenarios="1" selectLockedCells="1" selectUnlockedCells="1"/>
  <mergeCells count="2">
    <mergeCell ref="A1:Q1"/>
    <mergeCell ref="A17:D17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5"/>
  <sheetViews>
    <sheetView topLeftCell="A7" zoomScaleNormal="100" workbookViewId="0">
      <selection activeCell="F7" sqref="F7"/>
    </sheetView>
  </sheetViews>
  <sheetFormatPr defaultRowHeight="14"/>
  <cols>
    <col min="1" max="17" width="15" customWidth="1"/>
  </cols>
  <sheetData>
    <row r="1" spans="1:27" ht="16" thickTop="1" thickBot="1">
      <c r="A1" s="105" t="s">
        <v>61</v>
      </c>
      <c r="B1" s="112"/>
      <c r="C1" s="112"/>
      <c r="D1" s="112"/>
      <c r="E1" s="112"/>
      <c r="F1" s="112"/>
      <c r="G1" s="112"/>
      <c r="H1" s="113"/>
      <c r="I1" s="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" thickTop="1" thickBot="1">
      <c r="A2" s="84"/>
      <c r="B2" s="84"/>
      <c r="C2" s="84"/>
      <c r="D2" s="84"/>
      <c r="E2" s="84"/>
      <c r="F2" s="84"/>
      <c r="G2" s="84"/>
      <c r="H2" s="84"/>
      <c r="I2" s="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5" thickTop="1">
      <c r="A3" s="65" t="s">
        <v>29</v>
      </c>
      <c r="B3" s="122">
        <f>Source_Data!I11</f>
        <v>0</v>
      </c>
      <c r="C3" s="123"/>
      <c r="D3" s="124"/>
      <c r="E3" s="85"/>
      <c r="I3" s="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37" t="s">
        <v>31</v>
      </c>
      <c r="B4" s="125">
        <f>Source_Data!I12</f>
        <v>0</v>
      </c>
      <c r="C4" s="125"/>
      <c r="D4" s="126"/>
      <c r="E4" s="86"/>
      <c r="F4" s="87"/>
      <c r="G4" s="87"/>
      <c r="H4" s="87"/>
      <c r="I4" s="9"/>
      <c r="J4" s="2"/>
      <c r="K4" s="2"/>
      <c r="L4" s="2"/>
      <c r="M4" s="2"/>
      <c r="N4" s="2"/>
      <c r="O4" s="2"/>
      <c r="P4" s="2"/>
      <c r="Q4" s="2"/>
    </row>
    <row r="5" spans="1:27" ht="26.5" customHeight="1">
      <c r="A5" s="37" t="s">
        <v>34</v>
      </c>
      <c r="B5" s="125">
        <f>Source_Data!I13</f>
        <v>0</v>
      </c>
      <c r="C5" s="125"/>
      <c r="D5" s="126"/>
      <c r="E5" s="86"/>
      <c r="F5" s="87"/>
      <c r="G5" s="87"/>
      <c r="H5" s="87"/>
      <c r="I5" s="9"/>
      <c r="J5" s="2"/>
      <c r="K5" s="2"/>
      <c r="L5" s="2"/>
      <c r="M5" s="2"/>
      <c r="N5" s="2"/>
      <c r="O5" s="2"/>
      <c r="P5" s="2"/>
      <c r="Q5" s="2"/>
    </row>
    <row r="6" spans="1:27">
      <c r="A6" s="37" t="s">
        <v>24</v>
      </c>
      <c r="B6" s="125" t="str">
        <f>Source_Data!I14</f>
        <v>RESIDENT - SR CITIZEN</v>
      </c>
      <c r="C6" s="125"/>
      <c r="D6" s="126"/>
      <c r="E6" s="127"/>
      <c r="F6" s="128"/>
      <c r="G6" s="128"/>
      <c r="H6" s="88"/>
      <c r="I6" s="9"/>
      <c r="J6" s="2"/>
      <c r="K6" s="2"/>
      <c r="L6" s="2"/>
      <c r="M6" s="2"/>
      <c r="N6" s="2"/>
      <c r="O6" s="2"/>
      <c r="P6" s="2"/>
      <c r="Q6" s="2"/>
    </row>
    <row r="7" spans="1:27" ht="42">
      <c r="A7" s="66" t="s">
        <v>62</v>
      </c>
      <c r="B7" s="67" t="str">
        <f>Relief_Calculation!B20</f>
        <v>2025-26</v>
      </c>
      <c r="C7" s="67"/>
      <c r="D7" s="68"/>
      <c r="E7" s="85"/>
      <c r="I7" s="9"/>
      <c r="J7" s="2"/>
      <c r="K7" s="2"/>
      <c r="L7" s="2"/>
      <c r="M7" s="2"/>
      <c r="N7" s="2"/>
      <c r="O7" s="2"/>
      <c r="P7" s="2"/>
      <c r="Q7" s="2"/>
    </row>
    <row r="8" spans="1:27" ht="28">
      <c r="A8" s="66" t="s">
        <v>15</v>
      </c>
      <c r="B8" s="67" t="str">
        <f>Relief_Calculation!B21</f>
        <v>2026-27</v>
      </c>
      <c r="C8" s="67"/>
      <c r="D8" s="68"/>
      <c r="E8" s="85"/>
      <c r="I8" s="9"/>
      <c r="J8" s="2"/>
      <c r="K8" s="2"/>
      <c r="L8" s="2"/>
      <c r="M8" s="2"/>
      <c r="N8" s="2"/>
      <c r="O8" s="2"/>
      <c r="P8" s="2"/>
      <c r="Q8" s="2"/>
    </row>
    <row r="9" spans="1:27" ht="28.5" thickBot="1">
      <c r="A9" s="69" t="s">
        <v>63</v>
      </c>
      <c r="B9" s="56">
        <f>ROUND(Relief_Calculation!B24,0)</f>
        <v>0</v>
      </c>
      <c r="C9" s="70"/>
      <c r="D9" s="34"/>
      <c r="E9" s="85"/>
      <c r="I9" s="9"/>
      <c r="J9" s="2"/>
      <c r="K9" s="2"/>
      <c r="L9" s="2"/>
      <c r="M9" s="2"/>
      <c r="N9" s="2"/>
      <c r="O9" s="2"/>
      <c r="P9" s="2"/>
      <c r="Q9" s="2"/>
    </row>
    <row r="10" spans="1:27" ht="14.5" thickTop="1">
      <c r="A10" s="85"/>
      <c r="I10" s="9"/>
      <c r="J10" s="2"/>
      <c r="K10" s="2"/>
      <c r="L10" s="2"/>
      <c r="M10" s="2"/>
      <c r="N10" s="2"/>
      <c r="O10" s="2"/>
      <c r="P10" s="2"/>
      <c r="Q10" s="2"/>
    </row>
    <row r="11" spans="1:27" ht="14.5" thickBot="1">
      <c r="A11" s="85"/>
      <c r="H11" s="94"/>
      <c r="I11" s="9"/>
      <c r="J11" s="2"/>
      <c r="K11" s="2"/>
      <c r="L11" s="2"/>
      <c r="M11" s="2"/>
      <c r="N11" s="2"/>
      <c r="O11" s="2"/>
      <c r="P11" s="2"/>
      <c r="Q11" s="2"/>
    </row>
    <row r="12" spans="1:27" ht="15" thickTop="1" thickBot="1">
      <c r="A12" s="114" t="s">
        <v>64</v>
      </c>
      <c r="B12" s="115"/>
      <c r="C12" s="115"/>
      <c r="D12" s="115"/>
      <c r="E12" s="115"/>
      <c r="F12" s="115"/>
      <c r="G12" s="115"/>
      <c r="H12" s="116"/>
      <c r="I12" s="9"/>
      <c r="J12" s="2"/>
      <c r="K12" s="2"/>
      <c r="L12" s="2"/>
      <c r="M12" s="2"/>
      <c r="N12" s="2"/>
      <c r="O12" s="2"/>
      <c r="P12" s="2"/>
      <c r="Q12" s="2"/>
    </row>
    <row r="13" spans="1:27" ht="41.5" customHeight="1" thickTop="1" thickBot="1">
      <c r="A13" s="71" t="s">
        <v>39</v>
      </c>
      <c r="B13" s="72" t="s">
        <v>3</v>
      </c>
      <c r="C13" s="73" t="s">
        <v>65</v>
      </c>
      <c r="D13" s="74" t="s">
        <v>66</v>
      </c>
      <c r="E13" s="73" t="s">
        <v>67</v>
      </c>
      <c r="F13" s="74" t="s">
        <v>68</v>
      </c>
      <c r="G13" s="74" t="s">
        <v>157</v>
      </c>
      <c r="H13" s="75" t="s">
        <v>43</v>
      </c>
      <c r="I13" s="9"/>
      <c r="J13" s="2"/>
      <c r="K13" s="2"/>
      <c r="L13" s="2"/>
      <c r="M13" s="2"/>
      <c r="N13" s="2"/>
      <c r="O13" s="2"/>
      <c r="P13" s="2"/>
      <c r="Q13" s="2"/>
    </row>
    <row r="14" spans="1:27" ht="14.5" thickTop="1">
      <c r="A14" s="76" t="str">
        <f>Relief_Calculation!A4</f>
        <v>2014-15</v>
      </c>
      <c r="B14" s="77">
        <f>Relief_Calculation!C4</f>
        <v>0</v>
      </c>
      <c r="C14" s="77">
        <f>Relief_Calculation!B4</f>
        <v>0</v>
      </c>
      <c r="D14" s="77">
        <f>Relief_Calculation!D4</f>
        <v>0</v>
      </c>
      <c r="E14" s="77">
        <f>Relief_Calculation!K4</f>
        <v>0</v>
      </c>
      <c r="F14" s="77">
        <f>Relief_Calculation!P4</f>
        <v>0</v>
      </c>
      <c r="G14" s="77">
        <f>Relief_Calculation!Q4</f>
        <v>0</v>
      </c>
      <c r="H14" s="78" t="s">
        <v>10</v>
      </c>
      <c r="I14" s="9"/>
      <c r="J14" s="2"/>
      <c r="K14" s="2"/>
      <c r="L14" s="2"/>
      <c r="M14" s="2"/>
      <c r="N14" s="2"/>
      <c r="O14" s="2"/>
      <c r="P14" s="2"/>
      <c r="Q14" s="2"/>
    </row>
    <row r="15" spans="1:27">
      <c r="A15" s="79" t="str">
        <f>Relief_Calculation!A5</f>
        <v>2015-16</v>
      </c>
      <c r="B15" s="80">
        <f>Relief_Calculation!C5</f>
        <v>0</v>
      </c>
      <c r="C15" s="80">
        <f>Relief_Calculation!B5</f>
        <v>0</v>
      </c>
      <c r="D15" s="80">
        <f>Relief_Calculation!D5</f>
        <v>0</v>
      </c>
      <c r="E15" s="80">
        <f>Relief_Calculation!K5</f>
        <v>0</v>
      </c>
      <c r="F15" s="80">
        <f>Relief_Calculation!P5</f>
        <v>0</v>
      </c>
      <c r="G15" s="80">
        <f>Relief_Calculation!Q5</f>
        <v>0</v>
      </c>
      <c r="H15" s="81" t="s">
        <v>10</v>
      </c>
      <c r="I15" s="9"/>
      <c r="J15" s="2"/>
      <c r="K15" s="2"/>
      <c r="L15" s="2"/>
      <c r="M15" s="2"/>
      <c r="N15" s="2"/>
      <c r="O15" s="2"/>
      <c r="P15" s="2"/>
      <c r="Q15" s="2"/>
    </row>
    <row r="16" spans="1:27">
      <c r="A16" s="79" t="str">
        <f>Relief_Calculation!A6</f>
        <v>2016-17</v>
      </c>
      <c r="B16" s="80">
        <f>Relief_Calculation!C6</f>
        <v>0</v>
      </c>
      <c r="C16" s="80">
        <f>Relief_Calculation!B6</f>
        <v>0</v>
      </c>
      <c r="D16" s="80">
        <f>Relief_Calculation!D6</f>
        <v>0</v>
      </c>
      <c r="E16" s="80">
        <f>Relief_Calculation!K6</f>
        <v>0</v>
      </c>
      <c r="F16" s="80">
        <f>Relief_Calculation!P6</f>
        <v>0</v>
      </c>
      <c r="G16" s="80">
        <f>Relief_Calculation!Q6</f>
        <v>0</v>
      </c>
      <c r="H16" s="81" t="s">
        <v>10</v>
      </c>
      <c r="I16" s="9"/>
      <c r="J16" s="2"/>
      <c r="K16" s="2"/>
      <c r="L16" s="2"/>
      <c r="M16" s="2"/>
      <c r="N16" s="2"/>
      <c r="O16" s="2"/>
      <c r="P16" s="2"/>
      <c r="Q16" s="2"/>
    </row>
    <row r="17" spans="1:17">
      <c r="A17" s="79" t="str">
        <f>Relief_Calculation!A7</f>
        <v>2017-18</v>
      </c>
      <c r="B17" s="80">
        <f>Relief_Calculation!C7</f>
        <v>0</v>
      </c>
      <c r="C17" s="80">
        <f>Relief_Calculation!B7</f>
        <v>0</v>
      </c>
      <c r="D17" s="80">
        <f>Relief_Calculation!D7</f>
        <v>0</v>
      </c>
      <c r="E17" s="80">
        <f>Relief_Calculation!K7</f>
        <v>0</v>
      </c>
      <c r="F17" s="80">
        <f>Relief_Calculation!P7</f>
        <v>0</v>
      </c>
      <c r="G17" s="80">
        <f>Relief_Calculation!Q7</f>
        <v>0</v>
      </c>
      <c r="H17" s="81" t="s">
        <v>10</v>
      </c>
      <c r="I17" s="9"/>
      <c r="J17" s="2"/>
      <c r="K17" s="2"/>
      <c r="L17" s="2"/>
      <c r="M17" s="2"/>
      <c r="N17" s="2"/>
      <c r="O17" s="2"/>
      <c r="P17" s="2"/>
      <c r="Q17" s="2"/>
    </row>
    <row r="18" spans="1:17">
      <c r="A18" s="79" t="str">
        <f>Relief_Calculation!A8</f>
        <v>2018-19</v>
      </c>
      <c r="B18" s="80">
        <f>Relief_Calculation!C8</f>
        <v>0</v>
      </c>
      <c r="C18" s="80">
        <f>Relief_Calculation!B8</f>
        <v>0</v>
      </c>
      <c r="D18" s="80">
        <f>Relief_Calculation!D8</f>
        <v>0</v>
      </c>
      <c r="E18" s="80">
        <f>Relief_Calculation!K8</f>
        <v>0</v>
      </c>
      <c r="F18" s="80">
        <f>Relief_Calculation!P8</f>
        <v>0</v>
      </c>
      <c r="G18" s="80">
        <f>Relief_Calculation!Q8</f>
        <v>0</v>
      </c>
      <c r="H18" s="81" t="s">
        <v>10</v>
      </c>
      <c r="I18" s="9"/>
      <c r="J18" s="2"/>
      <c r="K18" s="2"/>
      <c r="L18" s="2"/>
      <c r="M18" s="2"/>
      <c r="N18" s="2"/>
      <c r="O18" s="2"/>
      <c r="P18" s="2"/>
      <c r="Q18" s="2"/>
    </row>
    <row r="19" spans="1:17">
      <c r="A19" s="79" t="str">
        <f>Relief_Calculation!A9</f>
        <v>2019-20</v>
      </c>
      <c r="B19" s="80">
        <f>Relief_Calculation!C9</f>
        <v>0</v>
      </c>
      <c r="C19" s="80">
        <f>Relief_Calculation!B9</f>
        <v>0</v>
      </c>
      <c r="D19" s="80">
        <f>Relief_Calculation!D9</f>
        <v>0</v>
      </c>
      <c r="E19" s="80">
        <f>Relief_Calculation!K9</f>
        <v>0</v>
      </c>
      <c r="F19" s="80">
        <f>Relief_Calculation!P9</f>
        <v>0</v>
      </c>
      <c r="G19" s="80">
        <f>Relief_Calculation!Q9</f>
        <v>0</v>
      </c>
      <c r="H19" s="81" t="s">
        <v>10</v>
      </c>
      <c r="I19" s="9"/>
      <c r="J19" s="2"/>
      <c r="K19" s="2"/>
      <c r="L19" s="2"/>
      <c r="M19" s="2"/>
      <c r="N19" s="2"/>
      <c r="O19" s="2"/>
      <c r="P19" s="2"/>
      <c r="Q19" s="2"/>
    </row>
    <row r="20" spans="1:17">
      <c r="A20" s="79" t="str">
        <f>Relief_Calculation!A10</f>
        <v>2020-21</v>
      </c>
      <c r="B20" s="80">
        <f>Relief_Calculation!C10</f>
        <v>0</v>
      </c>
      <c r="C20" s="80">
        <f>Relief_Calculation!B10</f>
        <v>0</v>
      </c>
      <c r="D20" s="80">
        <f>Relief_Calculation!D10</f>
        <v>0</v>
      </c>
      <c r="E20" s="80">
        <f>Relief_Calculation!K10</f>
        <v>0</v>
      </c>
      <c r="F20" s="80">
        <f>Relief_Calculation!P10</f>
        <v>0</v>
      </c>
      <c r="G20" s="80">
        <f>Relief_Calculation!Q10</f>
        <v>0</v>
      </c>
      <c r="H20" s="82" t="str">
        <f>Relief_Calculation!E10</f>
        <v>OLD</v>
      </c>
      <c r="I20" s="9"/>
      <c r="J20" s="2"/>
      <c r="K20" s="2"/>
      <c r="L20" s="2"/>
      <c r="M20" s="2"/>
      <c r="N20" s="2"/>
      <c r="O20" s="2"/>
      <c r="P20" s="2"/>
      <c r="Q20" s="2"/>
    </row>
    <row r="21" spans="1:17">
      <c r="A21" s="79" t="str">
        <f>Relief_Calculation!A11</f>
        <v>2021-22</v>
      </c>
      <c r="B21" s="80">
        <f>Relief_Calculation!C11</f>
        <v>0</v>
      </c>
      <c r="C21" s="80">
        <f>Relief_Calculation!B11</f>
        <v>0</v>
      </c>
      <c r="D21" s="80">
        <f>Relief_Calculation!D11</f>
        <v>0</v>
      </c>
      <c r="E21" s="80">
        <f>Relief_Calculation!K11</f>
        <v>0</v>
      </c>
      <c r="F21" s="80">
        <f>Relief_Calculation!P11</f>
        <v>0</v>
      </c>
      <c r="G21" s="80">
        <f>Relief_Calculation!Q11</f>
        <v>0</v>
      </c>
      <c r="H21" s="82" t="str">
        <f>Relief_Calculation!E11</f>
        <v>OLD</v>
      </c>
      <c r="I21" s="9"/>
      <c r="J21" s="2"/>
      <c r="K21" s="2"/>
      <c r="L21" s="2"/>
      <c r="M21" s="2"/>
      <c r="N21" s="2"/>
      <c r="O21" s="2"/>
      <c r="P21" s="2"/>
      <c r="Q21" s="2"/>
    </row>
    <row r="22" spans="1:17">
      <c r="A22" s="79" t="str">
        <f>Relief_Calculation!A12</f>
        <v>2022-23</v>
      </c>
      <c r="B22" s="80">
        <f>Relief_Calculation!C12</f>
        <v>0</v>
      </c>
      <c r="C22" s="80">
        <f>Relief_Calculation!B12</f>
        <v>0</v>
      </c>
      <c r="D22" s="80">
        <f>Relief_Calculation!D12</f>
        <v>0</v>
      </c>
      <c r="E22" s="80">
        <f>Relief_Calculation!K12</f>
        <v>0</v>
      </c>
      <c r="F22" s="80">
        <f>Relief_Calculation!P12</f>
        <v>0</v>
      </c>
      <c r="G22" s="80">
        <f>Relief_Calculation!Q12</f>
        <v>0</v>
      </c>
      <c r="H22" s="82" t="str">
        <f>Relief_Calculation!E12</f>
        <v>NEW</v>
      </c>
      <c r="I22" s="9"/>
      <c r="J22" s="2"/>
      <c r="K22" s="2"/>
      <c r="L22" s="2"/>
      <c r="M22" s="2"/>
      <c r="N22" s="2"/>
      <c r="O22" s="2"/>
      <c r="P22" s="2"/>
      <c r="Q22" s="2"/>
    </row>
    <row r="23" spans="1:17">
      <c r="A23" s="79" t="str">
        <f>Relief_Calculation!A13</f>
        <v>2023-24</v>
      </c>
      <c r="B23" s="80">
        <f>Relief_Calculation!C13</f>
        <v>0</v>
      </c>
      <c r="C23" s="80">
        <f>Relief_Calculation!B13</f>
        <v>0</v>
      </c>
      <c r="D23" s="80">
        <f>Relief_Calculation!D13</f>
        <v>0</v>
      </c>
      <c r="E23" s="80">
        <f>Relief_Calculation!K13</f>
        <v>0</v>
      </c>
      <c r="F23" s="80">
        <f>Relief_Calculation!P13</f>
        <v>0</v>
      </c>
      <c r="G23" s="80">
        <f>Relief_Calculation!Q13</f>
        <v>0</v>
      </c>
      <c r="H23" s="81" t="str">
        <f>Relief_Calculation!E13</f>
        <v>NEW</v>
      </c>
      <c r="I23" s="9"/>
      <c r="J23" s="2"/>
      <c r="K23" s="2"/>
      <c r="L23" s="2"/>
      <c r="M23" s="2"/>
      <c r="N23" s="2"/>
      <c r="O23" s="2"/>
      <c r="P23" s="2"/>
      <c r="Q23" s="2"/>
    </row>
    <row r="24" spans="1:17">
      <c r="A24" s="79" t="str">
        <f>Relief_Calculation!A14</f>
        <v>2024-25</v>
      </c>
      <c r="B24" s="80">
        <f>Relief_Calculation!C14</f>
        <v>0</v>
      </c>
      <c r="C24" s="80">
        <f>Relief_Calculation!B14</f>
        <v>0</v>
      </c>
      <c r="D24" s="80">
        <f>Relief_Calculation!D14</f>
        <v>0</v>
      </c>
      <c r="E24" s="80">
        <f>Relief_Calculation!K14</f>
        <v>0</v>
      </c>
      <c r="F24" s="80">
        <f>Relief_Calculation!P14</f>
        <v>0</v>
      </c>
      <c r="G24" s="80">
        <f>Relief_Calculation!Q14</f>
        <v>0</v>
      </c>
      <c r="H24" s="81" t="str">
        <f>Relief_Calculation!E14</f>
        <v>NEW</v>
      </c>
      <c r="I24" s="9"/>
      <c r="J24" s="2"/>
      <c r="K24" s="2"/>
      <c r="L24" s="2"/>
      <c r="M24" s="2"/>
      <c r="N24" s="2"/>
      <c r="O24" s="2"/>
      <c r="P24" s="2"/>
      <c r="Q24" s="2"/>
    </row>
    <row r="25" spans="1:17" ht="14.5" thickBot="1">
      <c r="A25" s="117" t="str">
        <f>Relief_Calculation!A15</f>
        <v>2025-26</v>
      </c>
      <c r="B25" s="118">
        <f>Relief_Calculation!C15</f>
        <v>0</v>
      </c>
      <c r="C25" s="118">
        <f>Relief_Calculation!B15</f>
        <v>0</v>
      </c>
      <c r="D25" s="118">
        <f>Relief_Calculation!D15</f>
        <v>0</v>
      </c>
      <c r="E25" s="118">
        <f>Relief_Calculation!K15</f>
        <v>0</v>
      </c>
      <c r="F25" s="118">
        <f>Relief_Calculation!P15</f>
        <v>0</v>
      </c>
      <c r="G25" s="118">
        <f>Relief_Calculation!Q15</f>
        <v>0</v>
      </c>
      <c r="H25" s="119" t="str">
        <f>Relief_Calculation!E15</f>
        <v>NEW</v>
      </c>
      <c r="I25" s="9"/>
      <c r="J25" s="2"/>
      <c r="K25" s="2"/>
      <c r="L25" s="2"/>
      <c r="M25" s="2"/>
      <c r="N25" s="2"/>
      <c r="O25" s="2"/>
      <c r="P25" s="2"/>
      <c r="Q25" s="2"/>
    </row>
    <row r="26" spans="1:17" ht="14.5" thickTop="1">
      <c r="A26" s="84"/>
      <c r="B26" s="84"/>
      <c r="C26" s="84"/>
      <c r="D26" s="84"/>
      <c r="E26" s="84"/>
      <c r="F26" s="84"/>
      <c r="G26" s="84"/>
      <c r="H26" s="84"/>
      <c r="I26" s="9"/>
      <c r="J26" s="2"/>
      <c r="K26" s="2"/>
      <c r="L26" s="2"/>
      <c r="M26" s="2"/>
      <c r="N26" s="2"/>
      <c r="O26" s="2"/>
      <c r="P26" s="2"/>
      <c r="Q26" s="2"/>
    </row>
    <row r="27" spans="1:17">
      <c r="I27" s="9"/>
      <c r="J27" s="2"/>
      <c r="K27" s="2"/>
      <c r="L27" s="2"/>
      <c r="M27" s="2"/>
      <c r="N27" s="2"/>
      <c r="O27" s="2"/>
      <c r="P27" s="2"/>
      <c r="Q27" s="2"/>
    </row>
    <row r="28" spans="1:17" ht="14.5" thickBot="1">
      <c r="A28" s="89" t="s">
        <v>70</v>
      </c>
      <c r="B28" s="90"/>
      <c r="C28" s="85"/>
      <c r="I28" s="9"/>
      <c r="J28" s="2"/>
      <c r="K28" s="2"/>
      <c r="L28" s="2"/>
      <c r="M28" s="2"/>
      <c r="N28" s="2"/>
      <c r="O28" s="2"/>
      <c r="P28" s="2"/>
      <c r="Q28" s="2"/>
    </row>
    <row r="29" spans="1:17" ht="42.5" thickTop="1">
      <c r="A29" s="83" t="s">
        <v>71</v>
      </c>
      <c r="B29" s="91">
        <f>Relief_Calculation!P15</f>
        <v>0</v>
      </c>
      <c r="C29" s="85"/>
      <c r="I29" s="9"/>
      <c r="J29" s="2"/>
      <c r="K29" s="2"/>
      <c r="L29" s="2"/>
      <c r="M29" s="2"/>
      <c r="N29" s="2"/>
      <c r="O29" s="2"/>
      <c r="P29" s="2"/>
      <c r="Q29" s="2"/>
    </row>
    <row r="30" spans="1:17" ht="56">
      <c r="A30" s="66" t="s">
        <v>72</v>
      </c>
      <c r="B30" s="92">
        <f>Relief_Calculation!K15</f>
        <v>0</v>
      </c>
      <c r="C30" s="85"/>
      <c r="I30" s="9"/>
      <c r="J30" s="2"/>
      <c r="K30" s="2"/>
      <c r="L30" s="2"/>
      <c r="M30" s="2"/>
      <c r="N30" s="2"/>
      <c r="O30" s="2"/>
      <c r="P30" s="2"/>
      <c r="Q30" s="2"/>
    </row>
    <row r="31" spans="1:17" ht="42">
      <c r="A31" s="66" t="s">
        <v>73</v>
      </c>
      <c r="B31" s="92">
        <f>Relief_Calculation!B22</f>
        <v>0</v>
      </c>
      <c r="C31" s="85"/>
      <c r="I31" s="9"/>
      <c r="J31" s="2"/>
      <c r="K31" s="2"/>
      <c r="L31" s="2"/>
      <c r="M31" s="2"/>
      <c r="N31" s="2"/>
      <c r="O31" s="2"/>
      <c r="P31" s="2"/>
      <c r="Q31" s="2"/>
    </row>
    <row r="32" spans="1:17" ht="42">
      <c r="A32" s="66" t="s">
        <v>74</v>
      </c>
      <c r="B32" s="92">
        <f>Relief_Calculation!B23</f>
        <v>0</v>
      </c>
      <c r="C32" s="85"/>
      <c r="I32" s="9"/>
      <c r="J32" s="2"/>
      <c r="K32" s="2"/>
      <c r="L32" s="2"/>
      <c r="M32" s="2"/>
      <c r="N32" s="2"/>
      <c r="O32" s="2"/>
      <c r="P32" s="2"/>
      <c r="Q32" s="2"/>
    </row>
    <row r="33" spans="1:17" ht="28.5" thickBot="1">
      <c r="A33" s="69" t="s">
        <v>75</v>
      </c>
      <c r="B33" s="93">
        <f>Relief_Calculation!B24</f>
        <v>0</v>
      </c>
      <c r="C33" s="85"/>
      <c r="I33" s="9"/>
      <c r="J33" s="2"/>
      <c r="K33" s="2"/>
      <c r="L33" s="2"/>
      <c r="M33" s="2"/>
      <c r="N33" s="2"/>
      <c r="O33" s="2"/>
      <c r="P33" s="2"/>
      <c r="Q33" s="2"/>
    </row>
    <row r="34" spans="1:17" ht="14.5" thickTop="1">
      <c r="A34" s="120"/>
      <c r="B34" s="120"/>
      <c r="C34" s="120"/>
      <c r="D34" s="120"/>
      <c r="E34" s="120"/>
      <c r="F34" s="120"/>
      <c r="G34" s="120"/>
      <c r="H34" s="120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21"/>
      <c r="B35" s="121"/>
      <c r="C35" s="121"/>
      <c r="D35" s="121"/>
      <c r="E35" s="121"/>
      <c r="F35" s="121"/>
      <c r="G35" s="121"/>
      <c r="H35" s="121"/>
      <c r="I35" s="2"/>
      <c r="J35" s="2"/>
      <c r="K35" s="2"/>
      <c r="L35" s="2"/>
      <c r="M35" s="2"/>
      <c r="N35" s="2"/>
      <c r="O35" s="2"/>
      <c r="P35" s="2"/>
      <c r="Q35" s="2"/>
    </row>
  </sheetData>
  <sheetProtection algorithmName="SHA-512" hashValue="C5UtMinM+XbTdiFJf8z9qzVq1iPWJjoReIex5xoDWsLeuhQ+/pXNErgFb3YYCuQJlYaOq1xIW15em34QytvbWw==" saltValue="5QgcUHRS5c4CQkl2xQF/DA==" spinCount="100000" sheet="1" objects="1" scenarios="1" selectLockedCells="1" selectUnlockedCells="1"/>
  <mergeCells count="10">
    <mergeCell ref="A1:H1"/>
    <mergeCell ref="A12:H12"/>
    <mergeCell ref="A25:H25"/>
    <mergeCell ref="A34:H34"/>
    <mergeCell ref="A35:H35"/>
    <mergeCell ref="B3:D3"/>
    <mergeCell ref="B4:D4"/>
    <mergeCell ref="B5:D5"/>
    <mergeCell ref="B6:D6"/>
    <mergeCell ref="E6:G6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>
      <selection activeCell="E12" sqref="E12"/>
    </sheetView>
  </sheetViews>
  <sheetFormatPr defaultRowHeight="14"/>
  <cols>
    <col min="1" max="17" width="15" customWidth="1"/>
  </cols>
  <sheetData>
    <row r="1" spans="1:17" ht="18">
      <c r="A1" s="129" t="s">
        <v>76</v>
      </c>
      <c r="B1" s="129"/>
      <c r="C1" s="129"/>
      <c r="D1" s="1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8">
      <c r="A3" s="3" t="s">
        <v>77</v>
      </c>
      <c r="B3" s="3" t="s">
        <v>78</v>
      </c>
      <c r="C3" s="3" t="s">
        <v>79</v>
      </c>
      <c r="D3" s="3" t="s">
        <v>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2" t="s">
        <v>80</v>
      </c>
      <c r="B4" s="4">
        <f>Source_Data!C15-SUM(Source_Data!C4:C14)</f>
        <v>0</v>
      </c>
      <c r="C4" s="2" t="s">
        <v>81</v>
      </c>
      <c r="D4" s="2" t="str">
        <f>IF(B4=0,"OK","Check")</f>
        <v>OK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82</v>
      </c>
      <c r="B5" s="4">
        <f>SUMPRODUCT(--(Source_Data!D4:D15&lt;&gt;Source_Data!B4:B15+Source_Data!C4:C15))</f>
        <v>0</v>
      </c>
      <c r="C5" s="2" t="s">
        <v>81</v>
      </c>
      <c r="D5" s="2" t="str">
        <f>IF(B5=0,"OK","Check")</f>
        <v>OK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83</v>
      </c>
      <c r="B6" s="4">
        <f>Form_10E!B33-Relief_Calculation!B24</f>
        <v>0</v>
      </c>
      <c r="C6" s="2" t="s">
        <v>81</v>
      </c>
      <c r="D6" s="2" t="str">
        <f>IF(ABS(B6)&lt;1,"OK","Check")</f>
        <v>OK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84</v>
      </c>
      <c r="B7" s="4">
        <f>Relief_Calculation!B24</f>
        <v>0</v>
      </c>
      <c r="C7" s="2" t="s">
        <v>81</v>
      </c>
      <c r="D7" s="2" t="str">
        <f>IF(B7&gt;=0,"OK","Check")</f>
        <v>OK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85</v>
      </c>
      <c r="B8" s="4" t="str">
        <f>Source_Data!I4</f>
        <v>2025-26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86</v>
      </c>
      <c r="B9" s="4" t="str">
        <f>Source_Data!I5</f>
        <v>2026-27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87</v>
      </c>
      <c r="B10" s="4">
        <v>0</v>
      </c>
      <c r="C10" s="2" t="s">
        <v>81</v>
      </c>
      <c r="D10" s="2" t="s">
        <v>81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88</v>
      </c>
      <c r="B11" s="4">
        <v>0</v>
      </c>
      <c r="C11" s="2" t="s">
        <v>81</v>
      </c>
      <c r="D11" s="2" t="s">
        <v>81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89</v>
      </c>
      <c r="B12" s="4">
        <f>SUMPRODUCT(--(ROUND(Tax_Regime_Comparison!G4:G15,0)&lt;&gt;ROUND(Relief_Calculation!K4:K15,0)))+SUMPRODUCT(--(ROUND(Tax_Regime_Comparison!H4:H15,0)&lt;&gt;ROUND(Relief_Calculation!P4:P15,0)))</f>
        <v>0</v>
      </c>
      <c r="C12" s="2" t="s">
        <v>81</v>
      </c>
      <c r="D12" s="2" t="str">
        <f>IF(B12=0,"OK","Check")</f>
        <v>OK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90</v>
      </c>
      <c r="B13" s="4" t="s">
        <v>9</v>
      </c>
      <c r="C13" s="2" t="s">
        <v>81</v>
      </c>
      <c r="D13" s="2" t="s">
        <v>81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91</v>
      </c>
      <c r="B14" s="4" t="s">
        <v>14</v>
      </c>
      <c r="C14" s="2" t="s">
        <v>81</v>
      </c>
      <c r="D14" s="2" t="s">
        <v>81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</sheetData>
  <sheetProtection algorithmName="SHA-512" hashValue="Gyqt2axNoclshJRz7ZVPgX154G8sFgMqdmiEhwlluf2xeawcPFwtNrgFgPzv5JSXoEAlMGNFkwHO91jlVKv0Cg==" saltValue="UKD+TAZO3prWU5Jw6b4YPw==" spinCount="100000" sheet="1" objects="1" scenarios="1" selectLockedCells="1" selectUnlockedCells="1"/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3"/>
  <sheetViews>
    <sheetView tabSelected="1" workbookViewId="0">
      <selection activeCell="F9" sqref="F9"/>
    </sheetView>
  </sheetViews>
  <sheetFormatPr defaultRowHeight="14"/>
  <cols>
    <col min="1" max="6" width="16.9140625" customWidth="1"/>
    <col min="8" max="8" width="21.25" customWidth="1"/>
    <col min="9" max="10" width="23.75" customWidth="1"/>
  </cols>
  <sheetData>
    <row r="1" spans="1:10" ht="19">
      <c r="A1" s="130" t="s">
        <v>92</v>
      </c>
      <c r="B1" s="121"/>
      <c r="C1" s="121"/>
      <c r="D1" s="121"/>
      <c r="E1" s="121"/>
      <c r="F1" s="121"/>
      <c r="G1" s="121"/>
      <c r="H1" s="121"/>
      <c r="I1" s="121"/>
      <c r="J1" s="121"/>
    </row>
    <row r="2" spans="1:10">
      <c r="A2" s="131" t="s">
        <v>93</v>
      </c>
      <c r="B2" s="121"/>
      <c r="C2" s="121"/>
      <c r="D2" s="121"/>
      <c r="E2" s="121"/>
      <c r="F2" s="121"/>
      <c r="G2" s="121"/>
      <c r="H2" s="121"/>
      <c r="I2" s="121"/>
      <c r="J2" s="121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8">
      <c r="A4" s="7" t="s">
        <v>39</v>
      </c>
      <c r="B4" s="7" t="s">
        <v>43</v>
      </c>
      <c r="C4" s="7" t="s">
        <v>24</v>
      </c>
      <c r="D4" s="7" t="s">
        <v>94</v>
      </c>
      <c r="E4" s="7" t="s">
        <v>95</v>
      </c>
      <c r="F4" s="7" t="s">
        <v>96</v>
      </c>
      <c r="G4" s="2"/>
      <c r="H4" s="7" t="s">
        <v>97</v>
      </c>
      <c r="I4" s="7"/>
      <c r="J4" s="7"/>
    </row>
    <row r="5" spans="1:10">
      <c r="A5" s="2" t="s">
        <v>17</v>
      </c>
      <c r="B5" s="2" t="s">
        <v>10</v>
      </c>
      <c r="C5" s="2" t="s">
        <v>11</v>
      </c>
      <c r="D5" s="5">
        <v>0</v>
      </c>
      <c r="E5" s="5">
        <v>250000</v>
      </c>
      <c r="F5" s="6">
        <v>0</v>
      </c>
      <c r="G5" s="2"/>
      <c r="H5" s="2" t="s">
        <v>98</v>
      </c>
      <c r="I5" s="2" t="s">
        <v>99</v>
      </c>
      <c r="J5" s="2" t="s">
        <v>100</v>
      </c>
    </row>
    <row r="6" spans="1:10">
      <c r="A6" s="2" t="s">
        <v>17</v>
      </c>
      <c r="B6" s="2" t="s">
        <v>10</v>
      </c>
      <c r="C6" s="2" t="s">
        <v>11</v>
      </c>
      <c r="D6" s="5">
        <v>250000</v>
      </c>
      <c r="E6" s="5">
        <v>500000</v>
      </c>
      <c r="F6" s="6">
        <v>0.1</v>
      </c>
      <c r="G6" s="2"/>
      <c r="H6" s="2" t="s">
        <v>101</v>
      </c>
      <c r="I6" s="2" t="s">
        <v>102</v>
      </c>
      <c r="J6" s="2" t="s">
        <v>103</v>
      </c>
    </row>
    <row r="7" spans="1:10">
      <c r="A7" s="2" t="s">
        <v>17</v>
      </c>
      <c r="B7" s="2" t="s">
        <v>10</v>
      </c>
      <c r="C7" s="2" t="s">
        <v>11</v>
      </c>
      <c r="D7" s="5">
        <v>500000</v>
      </c>
      <c r="E7" s="5">
        <v>1000000</v>
      </c>
      <c r="F7" s="6">
        <v>0.2</v>
      </c>
      <c r="G7" s="2"/>
      <c r="H7" s="2" t="s">
        <v>104</v>
      </c>
      <c r="I7" s="2" t="s">
        <v>105</v>
      </c>
      <c r="J7" s="2" t="s">
        <v>106</v>
      </c>
    </row>
    <row r="8" spans="1:10">
      <c r="A8" s="2" t="s">
        <v>17</v>
      </c>
      <c r="B8" s="2" t="s">
        <v>10</v>
      </c>
      <c r="C8" s="2" t="s">
        <v>11</v>
      </c>
      <c r="D8" s="5">
        <v>1000000</v>
      </c>
      <c r="E8" s="5">
        <v>999999999</v>
      </c>
      <c r="F8" s="6">
        <v>0.3</v>
      </c>
      <c r="G8" s="2"/>
      <c r="H8" s="2" t="s">
        <v>107</v>
      </c>
      <c r="I8" s="2" t="s">
        <v>108</v>
      </c>
      <c r="J8" s="2" t="s">
        <v>109</v>
      </c>
    </row>
    <row r="9" spans="1:10">
      <c r="A9" s="2" t="s">
        <v>17</v>
      </c>
      <c r="B9" s="2" t="s">
        <v>10</v>
      </c>
      <c r="C9" s="2" t="s">
        <v>18</v>
      </c>
      <c r="D9" s="5">
        <v>0</v>
      </c>
      <c r="E9" s="5">
        <v>300000</v>
      </c>
      <c r="F9" s="6">
        <v>0</v>
      </c>
      <c r="G9" s="2"/>
      <c r="H9" s="2" t="s">
        <v>110</v>
      </c>
      <c r="I9" s="2" t="s">
        <v>111</v>
      </c>
      <c r="J9" s="2" t="s">
        <v>112</v>
      </c>
    </row>
    <row r="10" spans="1:10">
      <c r="A10" s="2" t="s">
        <v>17</v>
      </c>
      <c r="B10" s="2" t="s">
        <v>10</v>
      </c>
      <c r="C10" s="2" t="s">
        <v>18</v>
      </c>
      <c r="D10" s="5">
        <v>300000</v>
      </c>
      <c r="E10" s="5">
        <v>500000</v>
      </c>
      <c r="F10" s="6">
        <v>0.1</v>
      </c>
      <c r="G10" s="2"/>
      <c r="H10" s="2" t="s">
        <v>113</v>
      </c>
      <c r="I10" s="2" t="s">
        <v>114</v>
      </c>
      <c r="J10" s="2" t="s">
        <v>115</v>
      </c>
    </row>
    <row r="11" spans="1:10">
      <c r="A11" s="2" t="s">
        <v>17</v>
      </c>
      <c r="B11" s="2" t="s">
        <v>10</v>
      </c>
      <c r="C11" s="2" t="s">
        <v>18</v>
      </c>
      <c r="D11" s="5">
        <v>500000</v>
      </c>
      <c r="E11" s="5">
        <v>1000000</v>
      </c>
      <c r="F11" s="6">
        <v>0.2</v>
      </c>
      <c r="G11" s="2"/>
      <c r="H11" s="2" t="s">
        <v>116</v>
      </c>
      <c r="I11" s="2" t="s">
        <v>117</v>
      </c>
      <c r="J11" s="2" t="s">
        <v>118</v>
      </c>
    </row>
    <row r="12" spans="1:10">
      <c r="A12" s="2" t="s">
        <v>17</v>
      </c>
      <c r="B12" s="2" t="s">
        <v>10</v>
      </c>
      <c r="C12" s="2" t="s">
        <v>18</v>
      </c>
      <c r="D12" s="5">
        <v>1000000</v>
      </c>
      <c r="E12" s="5">
        <v>999999999</v>
      </c>
      <c r="F12" s="6">
        <v>0.3</v>
      </c>
      <c r="G12" s="2"/>
      <c r="H12" s="2"/>
      <c r="I12" s="2"/>
      <c r="J12" s="2"/>
    </row>
    <row r="13" spans="1:10">
      <c r="A13" s="2" t="s">
        <v>21</v>
      </c>
      <c r="B13" s="2" t="s">
        <v>10</v>
      </c>
      <c r="C13" s="2" t="s">
        <v>11</v>
      </c>
      <c r="D13" s="5">
        <v>0</v>
      </c>
      <c r="E13" s="5">
        <v>250000</v>
      </c>
      <c r="F13" s="6">
        <v>0</v>
      </c>
      <c r="G13" s="2"/>
      <c r="H13" s="2"/>
      <c r="I13" s="2"/>
      <c r="J13" s="2"/>
    </row>
    <row r="14" spans="1:10">
      <c r="A14" s="2" t="s">
        <v>21</v>
      </c>
      <c r="B14" s="2" t="s">
        <v>10</v>
      </c>
      <c r="C14" s="2" t="s">
        <v>11</v>
      </c>
      <c r="D14" s="5">
        <v>250000</v>
      </c>
      <c r="E14" s="5">
        <v>500000</v>
      </c>
      <c r="F14" s="6">
        <v>0.05</v>
      </c>
      <c r="G14" s="2"/>
      <c r="H14" s="2"/>
      <c r="I14" s="2"/>
      <c r="J14" s="2"/>
    </row>
    <row r="15" spans="1:10">
      <c r="A15" s="2" t="s">
        <v>21</v>
      </c>
      <c r="B15" s="2" t="s">
        <v>10</v>
      </c>
      <c r="C15" s="2" t="s">
        <v>11</v>
      </c>
      <c r="D15" s="5">
        <v>500000</v>
      </c>
      <c r="E15" s="5">
        <v>1000000</v>
      </c>
      <c r="F15" s="6">
        <v>0.2</v>
      </c>
      <c r="G15" s="2"/>
      <c r="H15" s="2"/>
      <c r="I15" s="2"/>
      <c r="J15" s="2"/>
    </row>
    <row r="16" spans="1:10">
      <c r="A16" s="2" t="s">
        <v>21</v>
      </c>
      <c r="B16" s="2" t="s">
        <v>10</v>
      </c>
      <c r="C16" s="2" t="s">
        <v>11</v>
      </c>
      <c r="D16" s="5">
        <v>1000000</v>
      </c>
      <c r="E16" s="5">
        <v>999999999</v>
      </c>
      <c r="F16" s="6">
        <v>0.3</v>
      </c>
      <c r="G16" s="2"/>
      <c r="H16" s="2"/>
      <c r="I16" s="2"/>
      <c r="J16" s="2"/>
    </row>
    <row r="17" spans="1:10">
      <c r="A17" s="2" t="s">
        <v>21</v>
      </c>
      <c r="B17" s="2" t="s">
        <v>10</v>
      </c>
      <c r="C17" s="2" t="s">
        <v>18</v>
      </c>
      <c r="D17" s="5">
        <v>0</v>
      </c>
      <c r="E17" s="5">
        <v>300000</v>
      </c>
      <c r="F17" s="6">
        <v>0</v>
      </c>
      <c r="G17" s="2"/>
      <c r="H17" s="2"/>
      <c r="I17" s="2"/>
      <c r="J17" s="2"/>
    </row>
    <row r="18" spans="1:10">
      <c r="A18" s="2" t="s">
        <v>21</v>
      </c>
      <c r="B18" s="2" t="s">
        <v>10</v>
      </c>
      <c r="C18" s="2" t="s">
        <v>18</v>
      </c>
      <c r="D18" s="5">
        <v>300000</v>
      </c>
      <c r="E18" s="5">
        <v>500000</v>
      </c>
      <c r="F18" s="6">
        <v>0.05</v>
      </c>
      <c r="G18" s="2"/>
      <c r="H18" s="2"/>
      <c r="I18" s="2"/>
      <c r="J18" s="2"/>
    </row>
    <row r="19" spans="1:10">
      <c r="A19" s="2" t="s">
        <v>21</v>
      </c>
      <c r="B19" s="2" t="s">
        <v>10</v>
      </c>
      <c r="C19" s="2" t="s">
        <v>18</v>
      </c>
      <c r="D19" s="5">
        <v>500000</v>
      </c>
      <c r="E19" s="5">
        <v>1000000</v>
      </c>
      <c r="F19" s="6">
        <v>0.2</v>
      </c>
      <c r="G19" s="2"/>
      <c r="H19" s="2"/>
      <c r="I19" s="2"/>
      <c r="J19" s="2"/>
    </row>
    <row r="20" spans="1:10">
      <c r="A20" s="2" t="s">
        <v>21</v>
      </c>
      <c r="B20" s="2" t="s">
        <v>10</v>
      </c>
      <c r="C20" s="2" t="s">
        <v>18</v>
      </c>
      <c r="D20" s="5">
        <v>1000000</v>
      </c>
      <c r="E20" s="5">
        <v>999999999</v>
      </c>
      <c r="F20" s="6">
        <v>0.3</v>
      </c>
      <c r="G20" s="2"/>
      <c r="H20" s="2"/>
      <c r="I20" s="2"/>
      <c r="J20" s="2"/>
    </row>
    <row r="21" spans="1:10">
      <c r="A21" s="2" t="s">
        <v>23</v>
      </c>
      <c r="B21" s="2" t="s">
        <v>10</v>
      </c>
      <c r="C21" s="2" t="s">
        <v>11</v>
      </c>
      <c r="D21" s="5">
        <v>0</v>
      </c>
      <c r="E21" s="5">
        <v>250000</v>
      </c>
      <c r="F21" s="6">
        <v>0</v>
      </c>
      <c r="G21" s="2"/>
      <c r="H21" s="2"/>
      <c r="I21" s="2"/>
      <c r="J21" s="2"/>
    </row>
    <row r="22" spans="1:10">
      <c r="A22" s="2" t="s">
        <v>23</v>
      </c>
      <c r="B22" s="2" t="s">
        <v>10</v>
      </c>
      <c r="C22" s="2" t="s">
        <v>11</v>
      </c>
      <c r="D22" s="5">
        <v>250000</v>
      </c>
      <c r="E22" s="5">
        <v>500000</v>
      </c>
      <c r="F22" s="6">
        <v>0.05</v>
      </c>
      <c r="G22" s="2"/>
      <c r="H22" s="2"/>
      <c r="I22" s="2"/>
      <c r="J22" s="2"/>
    </row>
    <row r="23" spans="1:10">
      <c r="A23" s="2" t="s">
        <v>23</v>
      </c>
      <c r="B23" s="2" t="s">
        <v>10</v>
      </c>
      <c r="C23" s="2" t="s">
        <v>11</v>
      </c>
      <c r="D23" s="5">
        <v>500000</v>
      </c>
      <c r="E23" s="5">
        <v>1000000</v>
      </c>
      <c r="F23" s="6">
        <v>0.2</v>
      </c>
      <c r="G23" s="2"/>
      <c r="H23" s="2"/>
      <c r="I23" s="2"/>
      <c r="J23" s="2"/>
    </row>
    <row r="24" spans="1:10">
      <c r="A24" s="2" t="s">
        <v>23</v>
      </c>
      <c r="B24" s="2" t="s">
        <v>10</v>
      </c>
      <c r="C24" s="2" t="s">
        <v>11</v>
      </c>
      <c r="D24" s="5">
        <v>1000000</v>
      </c>
      <c r="E24" s="5">
        <v>999999999</v>
      </c>
      <c r="F24" s="6">
        <v>0.3</v>
      </c>
      <c r="G24" s="2"/>
      <c r="H24" s="2"/>
      <c r="I24" s="2"/>
      <c r="J24" s="2"/>
    </row>
    <row r="25" spans="1:10">
      <c r="A25" s="2" t="s">
        <v>23</v>
      </c>
      <c r="B25" s="2" t="s">
        <v>10</v>
      </c>
      <c r="C25" s="2" t="s">
        <v>18</v>
      </c>
      <c r="D25" s="5">
        <v>0</v>
      </c>
      <c r="E25" s="5">
        <v>300000</v>
      </c>
      <c r="F25" s="6">
        <v>0</v>
      </c>
      <c r="G25" s="2"/>
      <c r="H25" s="2"/>
      <c r="I25" s="2"/>
      <c r="J25" s="2"/>
    </row>
    <row r="26" spans="1:10">
      <c r="A26" s="2" t="s">
        <v>23</v>
      </c>
      <c r="B26" s="2" t="s">
        <v>10</v>
      </c>
      <c r="C26" s="2" t="s">
        <v>18</v>
      </c>
      <c r="D26" s="5">
        <v>300000</v>
      </c>
      <c r="E26" s="5">
        <v>500000</v>
      </c>
      <c r="F26" s="6">
        <v>0.05</v>
      </c>
      <c r="G26" s="2"/>
      <c r="H26" s="2"/>
      <c r="I26" s="2"/>
      <c r="J26" s="2"/>
    </row>
    <row r="27" spans="1:10">
      <c r="A27" s="2" t="s">
        <v>23</v>
      </c>
      <c r="B27" s="2" t="s">
        <v>10</v>
      </c>
      <c r="C27" s="2" t="s">
        <v>18</v>
      </c>
      <c r="D27" s="5">
        <v>500000</v>
      </c>
      <c r="E27" s="5">
        <v>1000000</v>
      </c>
      <c r="F27" s="6">
        <v>0.2</v>
      </c>
      <c r="G27" s="2"/>
      <c r="H27" s="2"/>
      <c r="I27" s="2"/>
      <c r="J27" s="2"/>
    </row>
    <row r="28" spans="1:10">
      <c r="A28" s="2" t="s">
        <v>23</v>
      </c>
      <c r="B28" s="2" t="s">
        <v>10</v>
      </c>
      <c r="C28" s="2" t="s">
        <v>18</v>
      </c>
      <c r="D28" s="5">
        <v>1000000</v>
      </c>
      <c r="E28" s="5">
        <v>999999999</v>
      </c>
      <c r="F28" s="6">
        <v>0.3</v>
      </c>
      <c r="G28" s="2"/>
      <c r="H28" s="2"/>
      <c r="I28" s="2"/>
      <c r="J28" s="2"/>
    </row>
    <row r="29" spans="1:10">
      <c r="A29" s="2" t="s">
        <v>25</v>
      </c>
      <c r="B29" s="2" t="s">
        <v>10</v>
      </c>
      <c r="C29" s="2" t="s">
        <v>11</v>
      </c>
      <c r="D29" s="5">
        <v>0</v>
      </c>
      <c r="E29" s="5">
        <v>250000</v>
      </c>
      <c r="F29" s="6">
        <v>0</v>
      </c>
      <c r="G29" s="2"/>
      <c r="H29" s="2"/>
      <c r="I29" s="2"/>
      <c r="J29" s="2"/>
    </row>
    <row r="30" spans="1:10">
      <c r="A30" s="2" t="s">
        <v>25</v>
      </c>
      <c r="B30" s="2" t="s">
        <v>10</v>
      </c>
      <c r="C30" s="2" t="s">
        <v>11</v>
      </c>
      <c r="D30" s="5">
        <v>250000</v>
      </c>
      <c r="E30" s="5">
        <v>500000</v>
      </c>
      <c r="F30" s="6">
        <v>0.05</v>
      </c>
      <c r="G30" s="2"/>
      <c r="H30" s="2"/>
      <c r="I30" s="2"/>
      <c r="J30" s="2"/>
    </row>
    <row r="31" spans="1:10">
      <c r="A31" s="2" t="s">
        <v>25</v>
      </c>
      <c r="B31" s="2" t="s">
        <v>10</v>
      </c>
      <c r="C31" s="2" t="s">
        <v>11</v>
      </c>
      <c r="D31" s="5">
        <v>500000</v>
      </c>
      <c r="E31" s="5">
        <v>1000000</v>
      </c>
      <c r="F31" s="6">
        <v>0.2</v>
      </c>
      <c r="G31" s="2"/>
      <c r="H31" s="2"/>
      <c r="I31" s="2"/>
      <c r="J31" s="2"/>
    </row>
    <row r="32" spans="1:10">
      <c r="A32" s="2" t="s">
        <v>25</v>
      </c>
      <c r="B32" s="2" t="s">
        <v>10</v>
      </c>
      <c r="C32" s="2" t="s">
        <v>11</v>
      </c>
      <c r="D32" s="5">
        <v>1000000</v>
      </c>
      <c r="E32" s="5">
        <v>999999999</v>
      </c>
      <c r="F32" s="6">
        <v>0.3</v>
      </c>
      <c r="G32" s="2"/>
      <c r="H32" s="2"/>
      <c r="I32" s="2"/>
      <c r="J32" s="2"/>
    </row>
    <row r="33" spans="1:10">
      <c r="A33" s="2" t="s">
        <v>25</v>
      </c>
      <c r="B33" s="2" t="s">
        <v>10</v>
      </c>
      <c r="C33" s="2" t="s">
        <v>18</v>
      </c>
      <c r="D33" s="5">
        <v>0</v>
      </c>
      <c r="E33" s="5">
        <v>300000</v>
      </c>
      <c r="F33" s="6">
        <v>0</v>
      </c>
      <c r="G33" s="2"/>
      <c r="H33" s="2"/>
      <c r="I33" s="2"/>
      <c r="J33" s="2"/>
    </row>
    <row r="34" spans="1:10">
      <c r="A34" s="2" t="s">
        <v>25</v>
      </c>
      <c r="B34" s="2" t="s">
        <v>10</v>
      </c>
      <c r="C34" s="2" t="s">
        <v>18</v>
      </c>
      <c r="D34" s="5">
        <v>300000</v>
      </c>
      <c r="E34" s="5">
        <v>500000</v>
      </c>
      <c r="F34" s="6">
        <v>0.05</v>
      </c>
      <c r="G34" s="2"/>
      <c r="H34" s="2"/>
      <c r="I34" s="2"/>
      <c r="J34" s="2"/>
    </row>
    <row r="35" spans="1:10">
      <c r="A35" s="2" t="s">
        <v>25</v>
      </c>
      <c r="B35" s="2" t="s">
        <v>10</v>
      </c>
      <c r="C35" s="2" t="s">
        <v>18</v>
      </c>
      <c r="D35" s="5">
        <v>500000</v>
      </c>
      <c r="E35" s="5">
        <v>1000000</v>
      </c>
      <c r="F35" s="6">
        <v>0.2</v>
      </c>
      <c r="G35" s="2"/>
      <c r="H35" s="2"/>
      <c r="I35" s="2"/>
      <c r="J35" s="2"/>
    </row>
    <row r="36" spans="1:10">
      <c r="A36" s="2" t="s">
        <v>25</v>
      </c>
      <c r="B36" s="2" t="s">
        <v>10</v>
      </c>
      <c r="C36" s="2" t="s">
        <v>18</v>
      </c>
      <c r="D36" s="5">
        <v>1000000</v>
      </c>
      <c r="E36" s="5">
        <v>999999999</v>
      </c>
      <c r="F36" s="6">
        <v>0.3</v>
      </c>
      <c r="G36" s="2"/>
      <c r="H36" s="2"/>
      <c r="I36" s="2"/>
      <c r="J36" s="2"/>
    </row>
    <row r="37" spans="1:10">
      <c r="A37" s="2" t="s">
        <v>26</v>
      </c>
      <c r="B37" s="2" t="s">
        <v>10</v>
      </c>
      <c r="C37" s="2" t="s">
        <v>11</v>
      </c>
      <c r="D37" s="5">
        <v>0</v>
      </c>
      <c r="E37" s="5">
        <v>250000</v>
      </c>
      <c r="F37" s="6">
        <v>0</v>
      </c>
      <c r="G37" s="2"/>
      <c r="H37" s="2"/>
      <c r="I37" s="2"/>
      <c r="J37" s="2"/>
    </row>
    <row r="38" spans="1:10">
      <c r="A38" s="2" t="s">
        <v>26</v>
      </c>
      <c r="B38" s="2" t="s">
        <v>10</v>
      </c>
      <c r="C38" s="2" t="s">
        <v>11</v>
      </c>
      <c r="D38" s="5">
        <v>250000</v>
      </c>
      <c r="E38" s="5">
        <v>500000</v>
      </c>
      <c r="F38" s="6">
        <v>0.05</v>
      </c>
      <c r="G38" s="2"/>
      <c r="H38" s="2"/>
      <c r="I38" s="2"/>
      <c r="J38" s="2"/>
    </row>
    <row r="39" spans="1:10">
      <c r="A39" s="2" t="s">
        <v>26</v>
      </c>
      <c r="B39" s="2" t="s">
        <v>10</v>
      </c>
      <c r="C39" s="2" t="s">
        <v>11</v>
      </c>
      <c r="D39" s="5">
        <v>500000</v>
      </c>
      <c r="E39" s="5">
        <v>1000000</v>
      </c>
      <c r="F39" s="6">
        <v>0.2</v>
      </c>
      <c r="G39" s="2"/>
      <c r="H39" s="2"/>
      <c r="I39" s="2"/>
      <c r="J39" s="2"/>
    </row>
    <row r="40" spans="1:10">
      <c r="A40" s="2" t="s">
        <v>26</v>
      </c>
      <c r="B40" s="2" t="s">
        <v>10</v>
      </c>
      <c r="C40" s="2" t="s">
        <v>11</v>
      </c>
      <c r="D40" s="5">
        <v>1000000</v>
      </c>
      <c r="E40" s="5">
        <v>999999999</v>
      </c>
      <c r="F40" s="6">
        <v>0.3</v>
      </c>
      <c r="G40" s="2"/>
      <c r="H40" s="2"/>
      <c r="I40" s="2"/>
      <c r="J40" s="2"/>
    </row>
    <row r="41" spans="1:10">
      <c r="A41" s="2" t="s">
        <v>26</v>
      </c>
      <c r="B41" s="2" t="s">
        <v>10</v>
      </c>
      <c r="C41" s="2" t="s">
        <v>18</v>
      </c>
      <c r="D41" s="5">
        <v>0</v>
      </c>
      <c r="E41" s="5">
        <v>300000</v>
      </c>
      <c r="F41" s="6">
        <v>0</v>
      </c>
      <c r="G41" s="2"/>
      <c r="H41" s="2"/>
      <c r="I41" s="2"/>
      <c r="J41" s="2"/>
    </row>
    <row r="42" spans="1:10">
      <c r="A42" s="2" t="s">
        <v>26</v>
      </c>
      <c r="B42" s="2" t="s">
        <v>10</v>
      </c>
      <c r="C42" s="2" t="s">
        <v>18</v>
      </c>
      <c r="D42" s="5">
        <v>300000</v>
      </c>
      <c r="E42" s="5">
        <v>500000</v>
      </c>
      <c r="F42" s="6">
        <v>0.05</v>
      </c>
      <c r="G42" s="2"/>
      <c r="H42" s="2"/>
      <c r="I42" s="2"/>
      <c r="J42" s="2"/>
    </row>
    <row r="43" spans="1:10">
      <c r="A43" s="2" t="s">
        <v>26</v>
      </c>
      <c r="B43" s="2" t="s">
        <v>10</v>
      </c>
      <c r="C43" s="2" t="s">
        <v>18</v>
      </c>
      <c r="D43" s="5">
        <v>500000</v>
      </c>
      <c r="E43" s="5">
        <v>1000000</v>
      </c>
      <c r="F43" s="6">
        <v>0.2</v>
      </c>
      <c r="G43" s="2"/>
      <c r="H43" s="2"/>
      <c r="I43" s="2"/>
      <c r="J43" s="2"/>
    </row>
    <row r="44" spans="1:10">
      <c r="A44" s="2" t="s">
        <v>26</v>
      </c>
      <c r="B44" s="2" t="s">
        <v>10</v>
      </c>
      <c r="C44" s="2" t="s">
        <v>18</v>
      </c>
      <c r="D44" s="5">
        <v>1000000</v>
      </c>
      <c r="E44" s="5">
        <v>999999999</v>
      </c>
      <c r="F44" s="6">
        <v>0.3</v>
      </c>
      <c r="G44" s="2"/>
      <c r="H44" s="2"/>
      <c r="I44" s="2"/>
      <c r="J44" s="2"/>
    </row>
    <row r="45" spans="1:10">
      <c r="A45" s="2" t="s">
        <v>28</v>
      </c>
      <c r="B45" s="2" t="s">
        <v>10</v>
      </c>
      <c r="C45" s="2" t="s">
        <v>11</v>
      </c>
      <c r="D45" s="5">
        <v>0</v>
      </c>
      <c r="E45" s="5">
        <v>250000</v>
      </c>
      <c r="F45" s="6">
        <v>0</v>
      </c>
      <c r="G45" s="2"/>
      <c r="H45" s="2"/>
      <c r="I45" s="2"/>
      <c r="J45" s="2"/>
    </row>
    <row r="46" spans="1:10">
      <c r="A46" s="2" t="s">
        <v>28</v>
      </c>
      <c r="B46" s="2" t="s">
        <v>10</v>
      </c>
      <c r="C46" s="2" t="s">
        <v>11</v>
      </c>
      <c r="D46" s="5">
        <v>250000</v>
      </c>
      <c r="E46" s="5">
        <v>500000</v>
      </c>
      <c r="F46" s="6">
        <v>0.05</v>
      </c>
      <c r="G46" s="2"/>
      <c r="H46" s="2"/>
      <c r="I46" s="2"/>
      <c r="J46" s="2"/>
    </row>
    <row r="47" spans="1:10">
      <c r="A47" s="2" t="s">
        <v>28</v>
      </c>
      <c r="B47" s="2" t="s">
        <v>10</v>
      </c>
      <c r="C47" s="2" t="s">
        <v>11</v>
      </c>
      <c r="D47" s="5">
        <v>500000</v>
      </c>
      <c r="E47" s="5">
        <v>1000000</v>
      </c>
      <c r="F47" s="6">
        <v>0.2</v>
      </c>
      <c r="G47" s="2"/>
      <c r="H47" s="2"/>
      <c r="I47" s="2"/>
      <c r="J47" s="2"/>
    </row>
    <row r="48" spans="1:10">
      <c r="A48" s="2" t="s">
        <v>28</v>
      </c>
      <c r="B48" s="2" t="s">
        <v>10</v>
      </c>
      <c r="C48" s="2" t="s">
        <v>11</v>
      </c>
      <c r="D48" s="5">
        <v>1000000</v>
      </c>
      <c r="E48" s="5">
        <v>999999999</v>
      </c>
      <c r="F48" s="6">
        <v>0.3</v>
      </c>
      <c r="G48" s="2"/>
      <c r="H48" s="2"/>
      <c r="I48" s="2"/>
      <c r="J48" s="2"/>
    </row>
    <row r="49" spans="1:10">
      <c r="A49" s="2" t="s">
        <v>28</v>
      </c>
      <c r="B49" s="2" t="s">
        <v>10</v>
      </c>
      <c r="C49" s="2" t="s">
        <v>18</v>
      </c>
      <c r="D49" s="5">
        <v>0</v>
      </c>
      <c r="E49" s="5">
        <v>300000</v>
      </c>
      <c r="F49" s="6">
        <v>0</v>
      </c>
      <c r="G49" s="2"/>
      <c r="H49" s="2"/>
      <c r="I49" s="2"/>
      <c r="J49" s="2"/>
    </row>
    <row r="50" spans="1:10">
      <c r="A50" s="2" t="s">
        <v>28</v>
      </c>
      <c r="B50" s="2" t="s">
        <v>10</v>
      </c>
      <c r="C50" s="2" t="s">
        <v>18</v>
      </c>
      <c r="D50" s="5">
        <v>300000</v>
      </c>
      <c r="E50" s="5">
        <v>500000</v>
      </c>
      <c r="F50" s="6">
        <v>0.05</v>
      </c>
      <c r="G50" s="2"/>
      <c r="H50" s="2"/>
      <c r="I50" s="2"/>
      <c r="J50" s="2"/>
    </row>
    <row r="51" spans="1:10">
      <c r="A51" s="2" t="s">
        <v>28</v>
      </c>
      <c r="B51" s="2" t="s">
        <v>10</v>
      </c>
      <c r="C51" s="2" t="s">
        <v>18</v>
      </c>
      <c r="D51" s="5">
        <v>500000</v>
      </c>
      <c r="E51" s="5">
        <v>1000000</v>
      </c>
      <c r="F51" s="6">
        <v>0.2</v>
      </c>
      <c r="G51" s="2"/>
      <c r="H51" s="2"/>
      <c r="I51" s="2"/>
      <c r="J51" s="2"/>
    </row>
    <row r="52" spans="1:10">
      <c r="A52" s="2" t="s">
        <v>28</v>
      </c>
      <c r="B52" s="2" t="s">
        <v>10</v>
      </c>
      <c r="C52" s="2" t="s">
        <v>18</v>
      </c>
      <c r="D52" s="5">
        <v>1000000</v>
      </c>
      <c r="E52" s="5">
        <v>999999999</v>
      </c>
      <c r="F52" s="6">
        <v>0.3</v>
      </c>
      <c r="G52" s="2"/>
      <c r="H52" s="2"/>
      <c r="I52" s="2"/>
      <c r="J52" s="2"/>
    </row>
    <row r="53" spans="1:10">
      <c r="A53" s="2" t="s">
        <v>30</v>
      </c>
      <c r="B53" s="2" t="s">
        <v>10</v>
      </c>
      <c r="C53" s="2" t="s">
        <v>11</v>
      </c>
      <c r="D53" s="5">
        <v>0</v>
      </c>
      <c r="E53" s="5">
        <v>250000</v>
      </c>
      <c r="F53" s="6">
        <v>0</v>
      </c>
      <c r="G53" s="2"/>
      <c r="H53" s="2"/>
      <c r="I53" s="2"/>
      <c r="J53" s="2"/>
    </row>
    <row r="54" spans="1:10">
      <c r="A54" s="2" t="s">
        <v>30</v>
      </c>
      <c r="B54" s="2" t="s">
        <v>10</v>
      </c>
      <c r="C54" s="2" t="s">
        <v>11</v>
      </c>
      <c r="D54" s="5">
        <v>250000</v>
      </c>
      <c r="E54" s="5">
        <v>500000</v>
      </c>
      <c r="F54" s="6">
        <v>0.05</v>
      </c>
      <c r="G54" s="2"/>
      <c r="H54" s="2"/>
      <c r="I54" s="2"/>
      <c r="J54" s="2"/>
    </row>
    <row r="55" spans="1:10">
      <c r="A55" s="2" t="s">
        <v>30</v>
      </c>
      <c r="B55" s="2" t="s">
        <v>10</v>
      </c>
      <c r="C55" s="2" t="s">
        <v>11</v>
      </c>
      <c r="D55" s="5">
        <v>500000</v>
      </c>
      <c r="E55" s="5">
        <v>1000000</v>
      </c>
      <c r="F55" s="6">
        <v>0.2</v>
      </c>
      <c r="G55" s="2"/>
      <c r="H55" s="2"/>
      <c r="I55" s="2"/>
      <c r="J55" s="2"/>
    </row>
    <row r="56" spans="1:10">
      <c r="A56" s="2" t="s">
        <v>30</v>
      </c>
      <c r="B56" s="2" t="s">
        <v>10</v>
      </c>
      <c r="C56" s="2" t="s">
        <v>11</v>
      </c>
      <c r="D56" s="5">
        <v>1000000</v>
      </c>
      <c r="E56" s="5">
        <v>999999999</v>
      </c>
      <c r="F56" s="6">
        <v>0.3</v>
      </c>
      <c r="G56" s="2"/>
      <c r="H56" s="2"/>
      <c r="I56" s="2"/>
      <c r="J56" s="2"/>
    </row>
    <row r="57" spans="1:10">
      <c r="A57" s="2" t="s">
        <v>30</v>
      </c>
      <c r="B57" s="2" t="s">
        <v>10</v>
      </c>
      <c r="C57" s="2" t="s">
        <v>18</v>
      </c>
      <c r="D57" s="5">
        <v>0</v>
      </c>
      <c r="E57" s="5">
        <v>300000</v>
      </c>
      <c r="F57" s="6">
        <v>0</v>
      </c>
      <c r="G57" s="2"/>
      <c r="H57" s="2"/>
      <c r="I57" s="2"/>
      <c r="J57" s="2"/>
    </row>
    <row r="58" spans="1:10">
      <c r="A58" s="2" t="s">
        <v>30</v>
      </c>
      <c r="B58" s="2" t="s">
        <v>10</v>
      </c>
      <c r="C58" s="2" t="s">
        <v>18</v>
      </c>
      <c r="D58" s="5">
        <v>300000</v>
      </c>
      <c r="E58" s="5">
        <v>500000</v>
      </c>
      <c r="F58" s="6">
        <v>0.05</v>
      </c>
      <c r="G58" s="2"/>
      <c r="H58" s="2"/>
      <c r="I58" s="2"/>
      <c r="J58" s="2"/>
    </row>
    <row r="59" spans="1:10">
      <c r="A59" s="2" t="s">
        <v>30</v>
      </c>
      <c r="B59" s="2" t="s">
        <v>10</v>
      </c>
      <c r="C59" s="2" t="s">
        <v>18</v>
      </c>
      <c r="D59" s="5">
        <v>500000</v>
      </c>
      <c r="E59" s="5">
        <v>1000000</v>
      </c>
      <c r="F59" s="6">
        <v>0.2</v>
      </c>
      <c r="G59" s="2"/>
      <c r="H59" s="2"/>
      <c r="I59" s="2"/>
      <c r="J59" s="2"/>
    </row>
    <row r="60" spans="1:10">
      <c r="A60" s="2" t="s">
        <v>30</v>
      </c>
      <c r="B60" s="2" t="s">
        <v>10</v>
      </c>
      <c r="C60" s="2" t="s">
        <v>18</v>
      </c>
      <c r="D60" s="5">
        <v>1000000</v>
      </c>
      <c r="E60" s="5">
        <v>999999999</v>
      </c>
      <c r="F60" s="6">
        <v>0.3</v>
      </c>
      <c r="G60" s="2"/>
      <c r="H60" s="2"/>
      <c r="I60" s="2"/>
      <c r="J60" s="2"/>
    </row>
    <row r="61" spans="1:10">
      <c r="A61" s="2" t="s">
        <v>32</v>
      </c>
      <c r="B61" s="2" t="s">
        <v>33</v>
      </c>
      <c r="C61" s="2" t="s">
        <v>119</v>
      </c>
      <c r="D61" s="5">
        <v>0</v>
      </c>
      <c r="E61" s="5">
        <v>300000</v>
      </c>
      <c r="F61" s="6">
        <v>0</v>
      </c>
      <c r="G61" s="2"/>
      <c r="H61" s="2"/>
      <c r="I61" s="2"/>
      <c r="J61" s="2"/>
    </row>
    <row r="62" spans="1:10">
      <c r="A62" s="2" t="s">
        <v>32</v>
      </c>
      <c r="B62" s="2" t="s">
        <v>33</v>
      </c>
      <c r="C62" s="2" t="s">
        <v>119</v>
      </c>
      <c r="D62" s="5">
        <v>300000</v>
      </c>
      <c r="E62" s="5">
        <v>600000</v>
      </c>
      <c r="F62" s="6">
        <v>0.05</v>
      </c>
      <c r="G62" s="2"/>
      <c r="H62" s="2"/>
      <c r="I62" s="2"/>
      <c r="J62" s="2"/>
    </row>
    <row r="63" spans="1:10">
      <c r="A63" s="2" t="s">
        <v>32</v>
      </c>
      <c r="B63" s="2" t="s">
        <v>33</v>
      </c>
      <c r="C63" s="2" t="s">
        <v>119</v>
      </c>
      <c r="D63" s="5">
        <v>600000</v>
      </c>
      <c r="E63" s="5">
        <v>900000</v>
      </c>
      <c r="F63" s="6">
        <v>0.1</v>
      </c>
      <c r="G63" s="2"/>
      <c r="H63" s="2"/>
      <c r="I63" s="2"/>
      <c r="J63" s="2"/>
    </row>
    <row r="64" spans="1:10">
      <c r="A64" s="2" t="s">
        <v>32</v>
      </c>
      <c r="B64" s="2" t="s">
        <v>33</v>
      </c>
      <c r="C64" s="2" t="s">
        <v>119</v>
      </c>
      <c r="D64" s="5">
        <v>900000</v>
      </c>
      <c r="E64" s="5">
        <v>1200000</v>
      </c>
      <c r="F64" s="6">
        <v>0.15</v>
      </c>
      <c r="G64" s="2"/>
      <c r="H64" s="2"/>
      <c r="I64" s="2"/>
      <c r="J64" s="2"/>
    </row>
    <row r="65" spans="1:10">
      <c r="A65" s="2" t="s">
        <v>32</v>
      </c>
      <c r="B65" s="2" t="s">
        <v>33</v>
      </c>
      <c r="C65" s="2" t="s">
        <v>119</v>
      </c>
      <c r="D65" s="5">
        <v>1200000</v>
      </c>
      <c r="E65" s="5">
        <v>1500000</v>
      </c>
      <c r="F65" s="6">
        <v>0.2</v>
      </c>
      <c r="G65" s="2"/>
      <c r="H65" s="2"/>
      <c r="I65" s="2"/>
      <c r="J65" s="2"/>
    </row>
    <row r="66" spans="1:10">
      <c r="A66" s="2" t="s">
        <v>32</v>
      </c>
      <c r="B66" s="2" t="s">
        <v>33</v>
      </c>
      <c r="C66" s="2" t="s">
        <v>119</v>
      </c>
      <c r="D66" s="5">
        <v>1500000</v>
      </c>
      <c r="E66" s="5">
        <v>999999999</v>
      </c>
      <c r="F66" s="6">
        <v>0.3</v>
      </c>
      <c r="G66" s="2"/>
      <c r="H66" s="2"/>
      <c r="I66" s="2"/>
      <c r="J66" s="2"/>
    </row>
    <row r="67" spans="1:10">
      <c r="A67" s="2" t="s">
        <v>35</v>
      </c>
      <c r="B67" s="2" t="s">
        <v>33</v>
      </c>
      <c r="C67" s="2" t="s">
        <v>119</v>
      </c>
      <c r="D67" s="5">
        <v>0</v>
      </c>
      <c r="E67" s="5">
        <v>300000</v>
      </c>
      <c r="F67" s="6">
        <v>0</v>
      </c>
      <c r="G67" s="2"/>
      <c r="H67" s="2"/>
      <c r="I67" s="2"/>
      <c r="J67" s="2"/>
    </row>
    <row r="68" spans="1:10">
      <c r="A68" s="2" t="s">
        <v>35</v>
      </c>
      <c r="B68" s="2" t="s">
        <v>33</v>
      </c>
      <c r="C68" s="2" t="s">
        <v>119</v>
      </c>
      <c r="D68" s="5">
        <v>300000</v>
      </c>
      <c r="E68" s="5">
        <v>700000</v>
      </c>
      <c r="F68" s="6">
        <v>0.05</v>
      </c>
      <c r="G68" s="2"/>
      <c r="H68" s="2"/>
      <c r="I68" s="2"/>
      <c r="J68" s="2"/>
    </row>
    <row r="69" spans="1:10">
      <c r="A69" s="2" t="s">
        <v>35</v>
      </c>
      <c r="B69" s="2" t="s">
        <v>33</v>
      </c>
      <c r="C69" s="2" t="s">
        <v>119</v>
      </c>
      <c r="D69" s="5">
        <v>700000</v>
      </c>
      <c r="E69" s="5">
        <v>1000000</v>
      </c>
      <c r="F69" s="6">
        <v>0.1</v>
      </c>
      <c r="G69" s="2"/>
      <c r="H69" s="2"/>
      <c r="I69" s="2"/>
      <c r="J69" s="2"/>
    </row>
    <row r="70" spans="1:10">
      <c r="A70" s="2" t="s">
        <v>35</v>
      </c>
      <c r="B70" s="2" t="s">
        <v>33</v>
      </c>
      <c r="C70" s="2" t="s">
        <v>119</v>
      </c>
      <c r="D70" s="5">
        <v>1000000</v>
      </c>
      <c r="E70" s="5">
        <v>1200000</v>
      </c>
      <c r="F70" s="6">
        <v>0.15</v>
      </c>
      <c r="G70" s="2"/>
      <c r="H70" s="2"/>
      <c r="I70" s="2"/>
      <c r="J70" s="2"/>
    </row>
    <row r="71" spans="1:10">
      <c r="A71" s="2" t="s">
        <v>35</v>
      </c>
      <c r="B71" s="2" t="s">
        <v>33</v>
      </c>
      <c r="C71" s="2" t="s">
        <v>119</v>
      </c>
      <c r="D71" s="5">
        <v>1200000</v>
      </c>
      <c r="E71" s="5">
        <v>1500000</v>
      </c>
      <c r="F71" s="6">
        <v>0.2</v>
      </c>
      <c r="G71" s="2"/>
      <c r="H71" s="2"/>
      <c r="I71" s="2"/>
      <c r="J71" s="2"/>
    </row>
    <row r="72" spans="1:10">
      <c r="A72" s="2" t="s">
        <v>35</v>
      </c>
      <c r="B72" s="2" t="s">
        <v>33</v>
      </c>
      <c r="C72" s="2" t="s">
        <v>119</v>
      </c>
      <c r="D72" s="5">
        <v>1500000</v>
      </c>
      <c r="E72" s="5">
        <v>999999999</v>
      </c>
      <c r="F72" s="6">
        <v>0.3</v>
      </c>
      <c r="G72" s="2"/>
      <c r="H72" s="2"/>
      <c r="I72" s="2"/>
      <c r="J72" s="2"/>
    </row>
    <row r="73" spans="1:10">
      <c r="A73" s="2" t="s">
        <v>13</v>
      </c>
      <c r="B73" s="2" t="s">
        <v>33</v>
      </c>
      <c r="C73" s="2" t="s">
        <v>119</v>
      </c>
      <c r="D73" s="5">
        <v>0</v>
      </c>
      <c r="E73" s="5">
        <v>400000</v>
      </c>
      <c r="F73" s="6">
        <v>0</v>
      </c>
      <c r="G73" s="2"/>
      <c r="H73" s="2"/>
      <c r="I73" s="2"/>
      <c r="J73" s="2"/>
    </row>
    <row r="74" spans="1:10">
      <c r="A74" s="2" t="s">
        <v>13</v>
      </c>
      <c r="B74" s="2" t="s">
        <v>33</v>
      </c>
      <c r="C74" s="2" t="s">
        <v>119</v>
      </c>
      <c r="D74" s="5">
        <v>400000</v>
      </c>
      <c r="E74" s="5">
        <v>800000</v>
      </c>
      <c r="F74" s="6">
        <v>0.05</v>
      </c>
      <c r="G74" s="2"/>
      <c r="H74" s="2"/>
      <c r="I74" s="2"/>
      <c r="J74" s="2"/>
    </row>
    <row r="75" spans="1:10">
      <c r="A75" s="2" t="s">
        <v>13</v>
      </c>
      <c r="B75" s="2" t="s">
        <v>33</v>
      </c>
      <c r="C75" s="2" t="s">
        <v>119</v>
      </c>
      <c r="D75" s="5">
        <v>800000</v>
      </c>
      <c r="E75" s="5">
        <v>1200000</v>
      </c>
      <c r="F75" s="6">
        <v>0.1</v>
      </c>
      <c r="G75" s="2"/>
      <c r="H75" s="2"/>
      <c r="I75" s="2"/>
      <c r="J75" s="2"/>
    </row>
    <row r="76" spans="1:10">
      <c r="A76" s="2" t="s">
        <v>13</v>
      </c>
      <c r="B76" s="2" t="s">
        <v>33</v>
      </c>
      <c r="C76" s="2" t="s">
        <v>119</v>
      </c>
      <c r="D76" s="5">
        <v>1200000</v>
      </c>
      <c r="E76" s="5">
        <v>1600000</v>
      </c>
      <c r="F76" s="6">
        <v>0.15</v>
      </c>
      <c r="G76" s="2"/>
      <c r="H76" s="2"/>
      <c r="I76" s="2"/>
      <c r="J76" s="2"/>
    </row>
    <row r="77" spans="1:10">
      <c r="A77" s="2" t="s">
        <v>13</v>
      </c>
      <c r="B77" s="2" t="s">
        <v>33</v>
      </c>
      <c r="C77" s="2" t="s">
        <v>119</v>
      </c>
      <c r="D77" s="5">
        <v>1600000</v>
      </c>
      <c r="E77" s="5">
        <v>2000000</v>
      </c>
      <c r="F77" s="6">
        <v>0.2</v>
      </c>
      <c r="G77" s="2"/>
      <c r="H77" s="2"/>
      <c r="I77" s="2"/>
      <c r="J77" s="2"/>
    </row>
    <row r="78" spans="1:10">
      <c r="A78" s="2" t="s">
        <v>13</v>
      </c>
      <c r="B78" s="2" t="s">
        <v>33</v>
      </c>
      <c r="C78" s="2" t="s">
        <v>119</v>
      </c>
      <c r="D78" s="5">
        <v>2000000</v>
      </c>
      <c r="E78" s="5">
        <v>2400000</v>
      </c>
      <c r="F78" s="6">
        <v>0.25</v>
      </c>
      <c r="G78" s="2"/>
      <c r="H78" s="2"/>
      <c r="I78" s="2"/>
      <c r="J78" s="2"/>
    </row>
    <row r="79" spans="1:10">
      <c r="A79" s="2" t="s">
        <v>13</v>
      </c>
      <c r="B79" s="2" t="s">
        <v>33</v>
      </c>
      <c r="C79" s="2" t="s">
        <v>119</v>
      </c>
      <c r="D79" s="5">
        <v>2400000</v>
      </c>
      <c r="E79" s="5">
        <v>999999999</v>
      </c>
      <c r="F79" s="6">
        <v>0.3</v>
      </c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7" t="s">
        <v>39</v>
      </c>
      <c r="B98" s="7" t="s">
        <v>43</v>
      </c>
      <c r="C98" s="7" t="s">
        <v>24</v>
      </c>
      <c r="D98" s="7" t="s">
        <v>120</v>
      </c>
      <c r="E98" s="7" t="s">
        <v>121</v>
      </c>
      <c r="F98" s="2"/>
      <c r="G98" s="2"/>
      <c r="H98" s="2"/>
      <c r="I98" s="2"/>
      <c r="J98" s="2"/>
    </row>
    <row r="99" spans="1:10">
      <c r="A99" s="2" t="s">
        <v>17</v>
      </c>
      <c r="B99" s="2" t="s">
        <v>10</v>
      </c>
      <c r="C99" s="2" t="s">
        <v>119</v>
      </c>
      <c r="D99" s="5">
        <v>500000</v>
      </c>
      <c r="E99" s="5">
        <v>5000</v>
      </c>
      <c r="F99" s="2"/>
      <c r="G99" s="2"/>
      <c r="H99" s="2"/>
      <c r="I99" s="2"/>
      <c r="J99" s="2"/>
    </row>
    <row r="100" spans="1:10">
      <c r="A100" s="2" t="s">
        <v>21</v>
      </c>
      <c r="B100" s="2" t="s">
        <v>10</v>
      </c>
      <c r="C100" s="2" t="s">
        <v>119</v>
      </c>
      <c r="D100" s="5">
        <v>350000</v>
      </c>
      <c r="E100" s="5">
        <v>2500</v>
      </c>
      <c r="F100" s="2"/>
      <c r="G100" s="2"/>
      <c r="H100" s="2"/>
      <c r="I100" s="2"/>
      <c r="J100" s="2"/>
    </row>
    <row r="101" spans="1:10">
      <c r="A101" s="2" t="s">
        <v>23</v>
      </c>
      <c r="B101" s="2" t="s">
        <v>10</v>
      </c>
      <c r="C101" s="2" t="s">
        <v>119</v>
      </c>
      <c r="D101" s="5">
        <v>350000</v>
      </c>
      <c r="E101" s="5">
        <v>2500</v>
      </c>
      <c r="F101" s="2"/>
      <c r="G101" s="2"/>
      <c r="H101" s="2"/>
      <c r="I101" s="2"/>
      <c r="J101" s="2"/>
    </row>
    <row r="102" spans="1:10">
      <c r="A102" s="2" t="s">
        <v>25</v>
      </c>
      <c r="B102" s="2" t="s">
        <v>10</v>
      </c>
      <c r="C102" s="2" t="s">
        <v>119</v>
      </c>
      <c r="D102" s="5">
        <v>500000</v>
      </c>
      <c r="E102" s="5">
        <v>12500</v>
      </c>
      <c r="F102" s="2"/>
      <c r="G102" s="2"/>
      <c r="H102" s="2"/>
      <c r="I102" s="2"/>
      <c r="J102" s="2"/>
    </row>
    <row r="103" spans="1:10">
      <c r="A103" s="2" t="s">
        <v>26</v>
      </c>
      <c r="B103" s="2" t="s">
        <v>10</v>
      </c>
      <c r="C103" s="2" t="s">
        <v>119</v>
      </c>
      <c r="D103" s="5">
        <v>500000</v>
      </c>
      <c r="E103" s="5">
        <v>12500</v>
      </c>
      <c r="F103" s="2"/>
      <c r="G103" s="2"/>
      <c r="H103" s="2"/>
      <c r="I103" s="2"/>
      <c r="J103" s="2"/>
    </row>
    <row r="104" spans="1:10">
      <c r="A104" s="2" t="s">
        <v>28</v>
      </c>
      <c r="B104" s="2" t="s">
        <v>10</v>
      </c>
      <c r="C104" s="2" t="s">
        <v>119</v>
      </c>
      <c r="D104" s="5">
        <v>500000</v>
      </c>
      <c r="E104" s="5">
        <v>12500</v>
      </c>
      <c r="F104" s="2"/>
      <c r="G104" s="2"/>
      <c r="H104" s="2"/>
      <c r="I104" s="2"/>
      <c r="J104" s="2"/>
    </row>
    <row r="105" spans="1:10">
      <c r="A105" s="2" t="s">
        <v>30</v>
      </c>
      <c r="B105" s="2" t="s">
        <v>10</v>
      </c>
      <c r="C105" s="2" t="s">
        <v>119</v>
      </c>
      <c r="D105" s="5">
        <v>500000</v>
      </c>
      <c r="E105" s="5">
        <v>12500</v>
      </c>
      <c r="F105" s="2"/>
      <c r="G105" s="2"/>
      <c r="H105" s="2"/>
      <c r="I105" s="2"/>
      <c r="J105" s="2"/>
    </row>
    <row r="106" spans="1:10">
      <c r="A106" s="2" t="s">
        <v>32</v>
      </c>
      <c r="B106" s="2" t="s">
        <v>33</v>
      </c>
      <c r="C106" s="2" t="s">
        <v>119</v>
      </c>
      <c r="D106" s="5">
        <v>700000</v>
      </c>
      <c r="E106" s="5">
        <v>25000</v>
      </c>
      <c r="F106" s="2"/>
      <c r="G106" s="2"/>
      <c r="H106" s="2"/>
      <c r="I106" s="2"/>
      <c r="J106" s="2"/>
    </row>
    <row r="107" spans="1:10">
      <c r="A107" s="2" t="s">
        <v>35</v>
      </c>
      <c r="B107" s="2" t="s">
        <v>33</v>
      </c>
      <c r="C107" s="2" t="s">
        <v>119</v>
      </c>
      <c r="D107" s="5">
        <v>700000</v>
      </c>
      <c r="E107" s="5">
        <v>25000</v>
      </c>
      <c r="F107" s="2"/>
      <c r="G107" s="2"/>
      <c r="H107" s="2"/>
      <c r="I107" s="2"/>
      <c r="J107" s="2"/>
    </row>
    <row r="108" spans="1:10">
      <c r="A108" s="2" t="s">
        <v>13</v>
      </c>
      <c r="B108" s="2" t="s">
        <v>33</v>
      </c>
      <c r="C108" s="2" t="s">
        <v>119</v>
      </c>
      <c r="D108" s="5">
        <v>1200000</v>
      </c>
      <c r="E108" s="5">
        <v>60000</v>
      </c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7" t="s">
        <v>39</v>
      </c>
      <c r="B111" s="7" t="s">
        <v>43</v>
      </c>
      <c r="C111" s="7" t="s">
        <v>24</v>
      </c>
      <c r="D111" s="7" t="s">
        <v>122</v>
      </c>
      <c r="E111" s="7" t="s">
        <v>123</v>
      </c>
      <c r="F111" s="7" t="s">
        <v>124</v>
      </c>
      <c r="G111" s="2"/>
      <c r="H111" s="2"/>
      <c r="I111" s="2"/>
      <c r="J111" s="2"/>
    </row>
    <row r="112" spans="1:10">
      <c r="A112" s="2" t="s">
        <v>17</v>
      </c>
      <c r="B112" s="2" t="s">
        <v>10</v>
      </c>
      <c r="C112" s="2" t="s">
        <v>119</v>
      </c>
      <c r="D112" s="5">
        <v>10000000</v>
      </c>
      <c r="E112" s="5">
        <v>999999999</v>
      </c>
      <c r="F112" s="6">
        <v>0.15</v>
      </c>
      <c r="G112" s="2"/>
      <c r="H112" s="2"/>
      <c r="I112" s="2"/>
      <c r="J112" s="2"/>
    </row>
    <row r="113" spans="1:10">
      <c r="A113" s="2" t="s">
        <v>21</v>
      </c>
      <c r="B113" s="2" t="s">
        <v>10</v>
      </c>
      <c r="C113" s="2" t="s">
        <v>119</v>
      </c>
      <c r="D113" s="5">
        <v>5000000</v>
      </c>
      <c r="E113" s="5">
        <v>10000000</v>
      </c>
      <c r="F113" s="6">
        <v>0.1</v>
      </c>
      <c r="G113" s="2"/>
      <c r="H113" s="2"/>
      <c r="I113" s="2"/>
      <c r="J113" s="2"/>
    </row>
    <row r="114" spans="1:10">
      <c r="A114" s="2" t="s">
        <v>21</v>
      </c>
      <c r="B114" s="2" t="s">
        <v>10</v>
      </c>
      <c r="C114" s="2" t="s">
        <v>119</v>
      </c>
      <c r="D114" s="5">
        <v>10000000</v>
      </c>
      <c r="E114" s="5">
        <v>999999999</v>
      </c>
      <c r="F114" s="6">
        <v>0.15</v>
      </c>
      <c r="G114" s="2"/>
      <c r="H114" s="2"/>
      <c r="I114" s="2"/>
      <c r="J114" s="2"/>
    </row>
    <row r="115" spans="1:10">
      <c r="A115" s="2" t="s">
        <v>23</v>
      </c>
      <c r="B115" s="2" t="s">
        <v>10</v>
      </c>
      <c r="C115" s="2" t="s">
        <v>119</v>
      </c>
      <c r="D115" s="5">
        <v>5000000</v>
      </c>
      <c r="E115" s="5">
        <v>10000000</v>
      </c>
      <c r="F115" s="6">
        <v>0.1</v>
      </c>
      <c r="G115" s="2"/>
      <c r="H115" s="2"/>
      <c r="I115" s="2"/>
      <c r="J115" s="2"/>
    </row>
    <row r="116" spans="1:10">
      <c r="A116" s="2" t="s">
        <v>23</v>
      </c>
      <c r="B116" s="2" t="s">
        <v>10</v>
      </c>
      <c r="C116" s="2" t="s">
        <v>119</v>
      </c>
      <c r="D116" s="5">
        <v>10000000</v>
      </c>
      <c r="E116" s="5">
        <v>999999999</v>
      </c>
      <c r="F116" s="6">
        <v>0.15</v>
      </c>
      <c r="G116" s="2"/>
      <c r="H116" s="2"/>
      <c r="I116" s="2"/>
      <c r="J116" s="2"/>
    </row>
    <row r="117" spans="1:10">
      <c r="A117" s="2" t="s">
        <v>25</v>
      </c>
      <c r="B117" s="2" t="s">
        <v>10</v>
      </c>
      <c r="C117" s="2" t="s">
        <v>119</v>
      </c>
      <c r="D117" s="5">
        <v>5000000</v>
      </c>
      <c r="E117" s="5">
        <v>10000000</v>
      </c>
      <c r="F117" s="6">
        <v>0.1</v>
      </c>
      <c r="G117" s="2"/>
      <c r="H117" s="2"/>
      <c r="I117" s="2"/>
      <c r="J117" s="2"/>
    </row>
    <row r="118" spans="1:10">
      <c r="A118" s="2" t="s">
        <v>25</v>
      </c>
      <c r="B118" s="2" t="s">
        <v>10</v>
      </c>
      <c r="C118" s="2" t="s">
        <v>119</v>
      </c>
      <c r="D118" s="5">
        <v>10000000</v>
      </c>
      <c r="E118" s="5">
        <v>20000000</v>
      </c>
      <c r="F118" s="6">
        <v>0.15</v>
      </c>
      <c r="G118" s="2"/>
      <c r="H118" s="2"/>
      <c r="I118" s="2"/>
      <c r="J118" s="2"/>
    </row>
    <row r="119" spans="1:10">
      <c r="A119" s="2" t="s">
        <v>25</v>
      </c>
      <c r="B119" s="2" t="s">
        <v>10</v>
      </c>
      <c r="C119" s="2" t="s">
        <v>119</v>
      </c>
      <c r="D119" s="5">
        <v>20000000</v>
      </c>
      <c r="E119" s="5">
        <v>50000000</v>
      </c>
      <c r="F119" s="6">
        <v>0.25</v>
      </c>
      <c r="G119" s="2"/>
      <c r="H119" s="2"/>
      <c r="I119" s="2"/>
      <c r="J119" s="2"/>
    </row>
    <row r="120" spans="1:10">
      <c r="A120" s="2" t="s">
        <v>25</v>
      </c>
      <c r="B120" s="2" t="s">
        <v>10</v>
      </c>
      <c r="C120" s="2" t="s">
        <v>119</v>
      </c>
      <c r="D120" s="5">
        <v>50000000</v>
      </c>
      <c r="E120" s="5">
        <v>999999999</v>
      </c>
      <c r="F120" s="6">
        <v>0.37</v>
      </c>
      <c r="G120" s="2"/>
      <c r="H120" s="2"/>
      <c r="I120" s="2"/>
      <c r="J120" s="2"/>
    </row>
    <row r="121" spans="1:10">
      <c r="A121" s="2" t="s">
        <v>26</v>
      </c>
      <c r="B121" s="2" t="s">
        <v>10</v>
      </c>
      <c r="C121" s="2" t="s">
        <v>119</v>
      </c>
      <c r="D121" s="5">
        <v>5000000</v>
      </c>
      <c r="E121" s="5">
        <v>10000000</v>
      </c>
      <c r="F121" s="6">
        <v>0.1</v>
      </c>
      <c r="G121" s="2"/>
      <c r="H121" s="2"/>
      <c r="I121" s="2"/>
      <c r="J121" s="2"/>
    </row>
    <row r="122" spans="1:10">
      <c r="A122" s="2" t="s">
        <v>26</v>
      </c>
      <c r="B122" s="2" t="s">
        <v>10</v>
      </c>
      <c r="C122" s="2" t="s">
        <v>119</v>
      </c>
      <c r="D122" s="5">
        <v>10000000</v>
      </c>
      <c r="E122" s="5">
        <v>20000000</v>
      </c>
      <c r="F122" s="6">
        <v>0.15</v>
      </c>
      <c r="G122" s="2"/>
      <c r="H122" s="2"/>
      <c r="I122" s="2"/>
      <c r="J122" s="2"/>
    </row>
    <row r="123" spans="1:10">
      <c r="A123" s="2" t="s">
        <v>26</v>
      </c>
      <c r="B123" s="2" t="s">
        <v>10</v>
      </c>
      <c r="C123" s="2" t="s">
        <v>119</v>
      </c>
      <c r="D123" s="5">
        <v>20000000</v>
      </c>
      <c r="E123" s="5">
        <v>50000000</v>
      </c>
      <c r="F123" s="6">
        <v>0.25</v>
      </c>
      <c r="G123" s="2"/>
      <c r="H123" s="2"/>
      <c r="I123" s="2"/>
      <c r="J123" s="2"/>
    </row>
    <row r="124" spans="1:10">
      <c r="A124" s="2" t="s">
        <v>26</v>
      </c>
      <c r="B124" s="2" t="s">
        <v>10</v>
      </c>
      <c r="C124" s="2" t="s">
        <v>119</v>
      </c>
      <c r="D124" s="5">
        <v>50000000</v>
      </c>
      <c r="E124" s="5">
        <v>999999999</v>
      </c>
      <c r="F124" s="6">
        <v>0.37</v>
      </c>
      <c r="G124" s="2"/>
      <c r="H124" s="2"/>
      <c r="I124" s="2"/>
      <c r="J124" s="2"/>
    </row>
    <row r="125" spans="1:10">
      <c r="A125" s="2" t="s">
        <v>28</v>
      </c>
      <c r="B125" s="2" t="s">
        <v>10</v>
      </c>
      <c r="C125" s="2" t="s">
        <v>119</v>
      </c>
      <c r="D125" s="5">
        <v>5000000</v>
      </c>
      <c r="E125" s="5">
        <v>10000000</v>
      </c>
      <c r="F125" s="6">
        <v>0.1</v>
      </c>
      <c r="G125" s="2"/>
      <c r="H125" s="2"/>
      <c r="I125" s="2"/>
      <c r="J125" s="2"/>
    </row>
    <row r="126" spans="1:10">
      <c r="A126" s="2" t="s">
        <v>28</v>
      </c>
      <c r="B126" s="2" t="s">
        <v>10</v>
      </c>
      <c r="C126" s="2" t="s">
        <v>119</v>
      </c>
      <c r="D126" s="5">
        <v>10000000</v>
      </c>
      <c r="E126" s="5">
        <v>20000000</v>
      </c>
      <c r="F126" s="6">
        <v>0.15</v>
      </c>
      <c r="G126" s="2"/>
      <c r="H126" s="2"/>
      <c r="I126" s="2"/>
      <c r="J126" s="2"/>
    </row>
    <row r="127" spans="1:10">
      <c r="A127" s="2" t="s">
        <v>28</v>
      </c>
      <c r="B127" s="2" t="s">
        <v>10</v>
      </c>
      <c r="C127" s="2" t="s">
        <v>119</v>
      </c>
      <c r="D127" s="5">
        <v>20000000</v>
      </c>
      <c r="E127" s="5">
        <v>50000000</v>
      </c>
      <c r="F127" s="6">
        <v>0.25</v>
      </c>
      <c r="G127" s="2"/>
      <c r="H127" s="2"/>
      <c r="I127" s="2"/>
      <c r="J127" s="2"/>
    </row>
    <row r="128" spans="1:10">
      <c r="A128" s="2" t="s">
        <v>28</v>
      </c>
      <c r="B128" s="2" t="s">
        <v>10</v>
      </c>
      <c r="C128" s="2" t="s">
        <v>119</v>
      </c>
      <c r="D128" s="5">
        <v>50000000</v>
      </c>
      <c r="E128" s="5">
        <v>999999999</v>
      </c>
      <c r="F128" s="6">
        <v>0.37</v>
      </c>
      <c r="G128" s="2"/>
      <c r="H128" s="2"/>
      <c r="I128" s="2"/>
      <c r="J128" s="2"/>
    </row>
    <row r="129" spans="1:10">
      <c r="A129" s="2" t="s">
        <v>30</v>
      </c>
      <c r="B129" s="2" t="s">
        <v>10</v>
      </c>
      <c r="C129" s="2" t="s">
        <v>119</v>
      </c>
      <c r="D129" s="5">
        <v>5000000</v>
      </c>
      <c r="E129" s="5">
        <v>10000000</v>
      </c>
      <c r="F129" s="6">
        <v>0.1</v>
      </c>
      <c r="G129" s="2"/>
      <c r="H129" s="2"/>
      <c r="I129" s="2"/>
      <c r="J129" s="2"/>
    </row>
    <row r="130" spans="1:10">
      <c r="A130" s="2" t="s">
        <v>30</v>
      </c>
      <c r="B130" s="2" t="s">
        <v>10</v>
      </c>
      <c r="C130" s="2" t="s">
        <v>119</v>
      </c>
      <c r="D130" s="5">
        <v>10000000</v>
      </c>
      <c r="E130" s="5">
        <v>20000000</v>
      </c>
      <c r="F130" s="6">
        <v>0.15</v>
      </c>
      <c r="G130" s="2"/>
      <c r="H130" s="2"/>
      <c r="I130" s="2"/>
      <c r="J130" s="2"/>
    </row>
    <row r="131" spans="1:10">
      <c r="A131" s="2" t="s">
        <v>30</v>
      </c>
      <c r="B131" s="2" t="s">
        <v>10</v>
      </c>
      <c r="C131" s="2" t="s">
        <v>119</v>
      </c>
      <c r="D131" s="5">
        <v>20000000</v>
      </c>
      <c r="E131" s="5">
        <v>50000000</v>
      </c>
      <c r="F131" s="6">
        <v>0.25</v>
      </c>
      <c r="G131" s="2"/>
      <c r="H131" s="2"/>
      <c r="I131" s="2"/>
      <c r="J131" s="2"/>
    </row>
    <row r="132" spans="1:10">
      <c r="A132" s="2" t="s">
        <v>30</v>
      </c>
      <c r="B132" s="2" t="s">
        <v>10</v>
      </c>
      <c r="C132" s="2" t="s">
        <v>119</v>
      </c>
      <c r="D132" s="5">
        <v>50000000</v>
      </c>
      <c r="E132" s="5">
        <v>999999999</v>
      </c>
      <c r="F132" s="6">
        <v>0.37</v>
      </c>
      <c r="G132" s="2"/>
      <c r="H132" s="2"/>
      <c r="I132" s="2"/>
      <c r="J132" s="2"/>
    </row>
    <row r="133" spans="1:10">
      <c r="A133" s="2" t="s">
        <v>32</v>
      </c>
      <c r="B133" s="2" t="s">
        <v>10</v>
      </c>
      <c r="C133" s="2" t="s">
        <v>119</v>
      </c>
      <c r="D133" s="5">
        <v>5000000</v>
      </c>
      <c r="E133" s="5">
        <v>10000000</v>
      </c>
      <c r="F133" s="6">
        <v>0.1</v>
      </c>
      <c r="G133" s="2"/>
      <c r="H133" s="2"/>
      <c r="I133" s="2"/>
      <c r="J133" s="2"/>
    </row>
    <row r="134" spans="1:10">
      <c r="A134" s="2" t="s">
        <v>32</v>
      </c>
      <c r="B134" s="2" t="s">
        <v>10</v>
      </c>
      <c r="C134" s="2" t="s">
        <v>119</v>
      </c>
      <c r="D134" s="5">
        <v>10000000</v>
      </c>
      <c r="E134" s="5">
        <v>20000000</v>
      </c>
      <c r="F134" s="6">
        <v>0.15</v>
      </c>
      <c r="G134" s="2"/>
      <c r="H134" s="2"/>
      <c r="I134" s="2"/>
      <c r="J134" s="2"/>
    </row>
    <row r="135" spans="1:10">
      <c r="A135" s="2" t="s">
        <v>32</v>
      </c>
      <c r="B135" s="2" t="s">
        <v>10</v>
      </c>
      <c r="C135" s="2" t="s">
        <v>119</v>
      </c>
      <c r="D135" s="5">
        <v>20000000</v>
      </c>
      <c r="E135" s="5">
        <v>50000000</v>
      </c>
      <c r="F135" s="6">
        <v>0.25</v>
      </c>
      <c r="G135" s="2"/>
      <c r="H135" s="2"/>
      <c r="I135" s="2"/>
      <c r="J135" s="2"/>
    </row>
    <row r="136" spans="1:10">
      <c r="A136" s="2" t="s">
        <v>32</v>
      </c>
      <c r="B136" s="2" t="s">
        <v>10</v>
      </c>
      <c r="C136" s="2" t="s">
        <v>119</v>
      </c>
      <c r="D136" s="5">
        <v>50000000</v>
      </c>
      <c r="E136" s="5">
        <v>999999999</v>
      </c>
      <c r="F136" s="6">
        <v>0.37</v>
      </c>
      <c r="G136" s="2"/>
      <c r="H136" s="2"/>
      <c r="I136" s="2"/>
      <c r="J136" s="2"/>
    </row>
    <row r="137" spans="1:10">
      <c r="A137" s="2" t="s">
        <v>35</v>
      </c>
      <c r="B137" s="2" t="s">
        <v>10</v>
      </c>
      <c r="C137" s="2" t="s">
        <v>119</v>
      </c>
      <c r="D137" s="5">
        <v>5000000</v>
      </c>
      <c r="E137" s="5">
        <v>10000000</v>
      </c>
      <c r="F137" s="6">
        <v>0.1</v>
      </c>
      <c r="G137" s="2"/>
      <c r="H137" s="2"/>
      <c r="I137" s="2"/>
      <c r="J137" s="2"/>
    </row>
    <row r="138" spans="1:10">
      <c r="A138" s="2" t="s">
        <v>35</v>
      </c>
      <c r="B138" s="2" t="s">
        <v>10</v>
      </c>
      <c r="C138" s="2" t="s">
        <v>119</v>
      </c>
      <c r="D138" s="5">
        <v>10000000</v>
      </c>
      <c r="E138" s="5">
        <v>20000000</v>
      </c>
      <c r="F138" s="6">
        <v>0.15</v>
      </c>
      <c r="G138" s="2"/>
      <c r="H138" s="2"/>
      <c r="I138" s="2"/>
      <c r="J138" s="2"/>
    </row>
    <row r="139" spans="1:10">
      <c r="A139" s="2" t="s">
        <v>35</v>
      </c>
      <c r="B139" s="2" t="s">
        <v>10</v>
      </c>
      <c r="C139" s="2" t="s">
        <v>119</v>
      </c>
      <c r="D139" s="5">
        <v>20000000</v>
      </c>
      <c r="E139" s="5">
        <v>50000000</v>
      </c>
      <c r="F139" s="6">
        <v>0.25</v>
      </c>
      <c r="G139" s="2"/>
      <c r="H139" s="2"/>
      <c r="I139" s="2"/>
      <c r="J139" s="2"/>
    </row>
    <row r="140" spans="1:10">
      <c r="A140" s="2" t="s">
        <v>35</v>
      </c>
      <c r="B140" s="2" t="s">
        <v>10</v>
      </c>
      <c r="C140" s="2" t="s">
        <v>119</v>
      </c>
      <c r="D140" s="5">
        <v>50000000</v>
      </c>
      <c r="E140" s="5">
        <v>999999999</v>
      </c>
      <c r="F140" s="6">
        <v>0.37</v>
      </c>
      <c r="G140" s="2"/>
      <c r="H140" s="2"/>
      <c r="I140" s="2"/>
      <c r="J140" s="2"/>
    </row>
    <row r="141" spans="1:10">
      <c r="A141" s="2" t="s">
        <v>13</v>
      </c>
      <c r="B141" s="2" t="s">
        <v>10</v>
      </c>
      <c r="C141" s="2" t="s">
        <v>119</v>
      </c>
      <c r="D141" s="5">
        <v>5000000</v>
      </c>
      <c r="E141" s="5">
        <v>10000000</v>
      </c>
      <c r="F141" s="6">
        <v>0.1</v>
      </c>
      <c r="G141" s="2"/>
      <c r="H141" s="2"/>
      <c r="I141" s="2"/>
      <c r="J141" s="2"/>
    </row>
    <row r="142" spans="1:10">
      <c r="A142" s="2" t="s">
        <v>13</v>
      </c>
      <c r="B142" s="2" t="s">
        <v>10</v>
      </c>
      <c r="C142" s="2" t="s">
        <v>119</v>
      </c>
      <c r="D142" s="5">
        <v>10000000</v>
      </c>
      <c r="E142" s="5">
        <v>20000000</v>
      </c>
      <c r="F142" s="6">
        <v>0.15</v>
      </c>
      <c r="G142" s="2"/>
      <c r="H142" s="2"/>
      <c r="I142" s="2"/>
      <c r="J142" s="2"/>
    </row>
    <row r="143" spans="1:10">
      <c r="A143" s="2" t="s">
        <v>13</v>
      </c>
      <c r="B143" s="2" t="s">
        <v>10</v>
      </c>
      <c r="C143" s="2" t="s">
        <v>119</v>
      </c>
      <c r="D143" s="5">
        <v>20000000</v>
      </c>
      <c r="E143" s="5">
        <v>50000000</v>
      </c>
      <c r="F143" s="6">
        <v>0.25</v>
      </c>
      <c r="G143" s="2"/>
      <c r="H143" s="2"/>
      <c r="I143" s="2"/>
      <c r="J143" s="2"/>
    </row>
    <row r="144" spans="1:10">
      <c r="A144" s="2" t="s">
        <v>13</v>
      </c>
      <c r="B144" s="2" t="s">
        <v>10</v>
      </c>
      <c r="C144" s="2" t="s">
        <v>119</v>
      </c>
      <c r="D144" s="5">
        <v>50000000</v>
      </c>
      <c r="E144" s="5">
        <v>999999999</v>
      </c>
      <c r="F144" s="6">
        <v>0.37</v>
      </c>
      <c r="G144" s="2"/>
      <c r="H144" s="2"/>
      <c r="I144" s="2"/>
      <c r="J144" s="2"/>
    </row>
    <row r="145" spans="1:10">
      <c r="A145" s="2" t="s">
        <v>26</v>
      </c>
      <c r="B145" s="2" t="s">
        <v>33</v>
      </c>
      <c r="C145" s="2" t="s">
        <v>119</v>
      </c>
      <c r="D145" s="5">
        <v>5000000</v>
      </c>
      <c r="E145" s="5">
        <v>10000000</v>
      </c>
      <c r="F145" s="6">
        <v>0.1</v>
      </c>
      <c r="G145" s="2"/>
      <c r="H145" s="2"/>
      <c r="I145" s="2"/>
      <c r="J145" s="2"/>
    </row>
    <row r="146" spans="1:10">
      <c r="A146" s="2" t="s">
        <v>26</v>
      </c>
      <c r="B146" s="2" t="s">
        <v>33</v>
      </c>
      <c r="C146" s="2" t="s">
        <v>119</v>
      </c>
      <c r="D146" s="5">
        <v>10000000</v>
      </c>
      <c r="E146" s="5">
        <v>20000000</v>
      </c>
      <c r="F146" s="6">
        <v>0.15</v>
      </c>
      <c r="G146" s="2"/>
      <c r="H146" s="2"/>
      <c r="I146" s="2"/>
      <c r="J146" s="2"/>
    </row>
    <row r="147" spans="1:10">
      <c r="A147" s="2" t="s">
        <v>26</v>
      </c>
      <c r="B147" s="2" t="s">
        <v>33</v>
      </c>
      <c r="C147" s="2" t="s">
        <v>119</v>
      </c>
      <c r="D147" s="5">
        <v>20000000</v>
      </c>
      <c r="E147" s="5">
        <v>50000000</v>
      </c>
      <c r="F147" s="6">
        <v>0.25</v>
      </c>
      <c r="G147" s="2"/>
      <c r="H147" s="2"/>
      <c r="I147" s="2"/>
      <c r="J147" s="2"/>
    </row>
    <row r="148" spans="1:10">
      <c r="A148" s="2" t="s">
        <v>26</v>
      </c>
      <c r="B148" s="2" t="s">
        <v>33</v>
      </c>
      <c r="C148" s="2" t="s">
        <v>119</v>
      </c>
      <c r="D148" s="5">
        <v>50000000</v>
      </c>
      <c r="E148" s="5">
        <v>999999999</v>
      </c>
      <c r="F148" s="6">
        <v>0.37</v>
      </c>
      <c r="G148" s="2"/>
      <c r="H148" s="2"/>
      <c r="I148" s="2"/>
      <c r="J148" s="2"/>
    </row>
    <row r="149" spans="1:10">
      <c r="A149" s="2" t="s">
        <v>28</v>
      </c>
      <c r="B149" s="2" t="s">
        <v>33</v>
      </c>
      <c r="C149" s="2" t="s">
        <v>119</v>
      </c>
      <c r="D149" s="5">
        <v>5000000</v>
      </c>
      <c r="E149" s="5">
        <v>10000000</v>
      </c>
      <c r="F149" s="6">
        <v>0.1</v>
      </c>
      <c r="G149" s="2"/>
      <c r="H149" s="2"/>
      <c r="I149" s="2"/>
      <c r="J149" s="2"/>
    </row>
    <row r="150" spans="1:10">
      <c r="A150" s="2" t="s">
        <v>28</v>
      </c>
      <c r="B150" s="2" t="s">
        <v>33</v>
      </c>
      <c r="C150" s="2" t="s">
        <v>119</v>
      </c>
      <c r="D150" s="5">
        <v>10000000</v>
      </c>
      <c r="E150" s="5">
        <v>20000000</v>
      </c>
      <c r="F150" s="6">
        <v>0.15</v>
      </c>
      <c r="G150" s="2"/>
      <c r="H150" s="2"/>
      <c r="I150" s="2"/>
      <c r="J150" s="2"/>
    </row>
    <row r="151" spans="1:10">
      <c r="A151" s="2" t="s">
        <v>28</v>
      </c>
      <c r="B151" s="2" t="s">
        <v>33</v>
      </c>
      <c r="C151" s="2" t="s">
        <v>119</v>
      </c>
      <c r="D151" s="5">
        <v>20000000</v>
      </c>
      <c r="E151" s="5">
        <v>50000000</v>
      </c>
      <c r="F151" s="6">
        <v>0.25</v>
      </c>
      <c r="G151" s="2"/>
      <c r="H151" s="2"/>
      <c r="I151" s="2"/>
      <c r="J151" s="2"/>
    </row>
    <row r="152" spans="1:10">
      <c r="A152" s="2" t="s">
        <v>28</v>
      </c>
      <c r="B152" s="2" t="s">
        <v>33</v>
      </c>
      <c r="C152" s="2" t="s">
        <v>119</v>
      </c>
      <c r="D152" s="5">
        <v>50000000</v>
      </c>
      <c r="E152" s="5">
        <v>999999999</v>
      </c>
      <c r="F152" s="6">
        <v>0.37</v>
      </c>
      <c r="G152" s="2"/>
      <c r="H152" s="2"/>
      <c r="I152" s="2"/>
      <c r="J152" s="2"/>
    </row>
    <row r="153" spans="1:10">
      <c r="A153" s="2" t="s">
        <v>30</v>
      </c>
      <c r="B153" s="2" t="s">
        <v>33</v>
      </c>
      <c r="C153" s="2" t="s">
        <v>119</v>
      </c>
      <c r="D153" s="5">
        <v>5000000</v>
      </c>
      <c r="E153" s="5">
        <v>10000000</v>
      </c>
      <c r="F153" s="6">
        <v>0.1</v>
      </c>
      <c r="G153" s="2"/>
      <c r="H153" s="2"/>
      <c r="I153" s="2"/>
      <c r="J153" s="2"/>
    </row>
    <row r="154" spans="1:10">
      <c r="A154" s="2" t="s">
        <v>30</v>
      </c>
      <c r="B154" s="2" t="s">
        <v>33</v>
      </c>
      <c r="C154" s="2" t="s">
        <v>119</v>
      </c>
      <c r="D154" s="5">
        <v>10000000</v>
      </c>
      <c r="E154" s="5">
        <v>20000000</v>
      </c>
      <c r="F154" s="6">
        <v>0.15</v>
      </c>
      <c r="G154" s="2"/>
      <c r="H154" s="2"/>
      <c r="I154" s="2"/>
      <c r="J154" s="2"/>
    </row>
    <row r="155" spans="1:10">
      <c r="A155" s="2" t="s">
        <v>30</v>
      </c>
      <c r="B155" s="2" t="s">
        <v>33</v>
      </c>
      <c r="C155" s="2" t="s">
        <v>119</v>
      </c>
      <c r="D155" s="5">
        <v>20000000</v>
      </c>
      <c r="E155" s="5">
        <v>50000000</v>
      </c>
      <c r="F155" s="6">
        <v>0.25</v>
      </c>
      <c r="G155" s="2"/>
      <c r="H155" s="2"/>
      <c r="I155" s="2"/>
      <c r="J155" s="2"/>
    </row>
    <row r="156" spans="1:10">
      <c r="A156" s="2" t="s">
        <v>30</v>
      </c>
      <c r="B156" s="2" t="s">
        <v>33</v>
      </c>
      <c r="C156" s="2" t="s">
        <v>119</v>
      </c>
      <c r="D156" s="5">
        <v>50000000</v>
      </c>
      <c r="E156" s="5">
        <v>999999999</v>
      </c>
      <c r="F156" s="6">
        <v>0.37</v>
      </c>
      <c r="G156" s="2"/>
      <c r="H156" s="2"/>
      <c r="I156" s="2"/>
      <c r="J156" s="2"/>
    </row>
    <row r="157" spans="1:10">
      <c r="A157" s="2" t="s">
        <v>32</v>
      </c>
      <c r="B157" s="2" t="s">
        <v>33</v>
      </c>
      <c r="C157" s="2" t="s">
        <v>119</v>
      </c>
      <c r="D157" s="5">
        <v>5000000</v>
      </c>
      <c r="E157" s="5">
        <v>10000000</v>
      </c>
      <c r="F157" s="6">
        <v>0.1</v>
      </c>
      <c r="G157" s="2"/>
      <c r="H157" s="2"/>
      <c r="I157" s="2"/>
      <c r="J157" s="2"/>
    </row>
    <row r="158" spans="1:10">
      <c r="A158" s="2" t="s">
        <v>32</v>
      </c>
      <c r="B158" s="2" t="s">
        <v>33</v>
      </c>
      <c r="C158" s="2" t="s">
        <v>119</v>
      </c>
      <c r="D158" s="5">
        <v>10000000</v>
      </c>
      <c r="E158" s="5">
        <v>20000000</v>
      </c>
      <c r="F158" s="6">
        <v>0.15</v>
      </c>
      <c r="G158" s="2"/>
      <c r="H158" s="2"/>
      <c r="I158" s="2"/>
      <c r="J158" s="2"/>
    </row>
    <row r="159" spans="1:10">
      <c r="A159" s="2" t="s">
        <v>32</v>
      </c>
      <c r="B159" s="2" t="s">
        <v>33</v>
      </c>
      <c r="C159" s="2" t="s">
        <v>119</v>
      </c>
      <c r="D159" s="5">
        <v>20000000</v>
      </c>
      <c r="E159" s="5">
        <v>999999999</v>
      </c>
      <c r="F159" s="6">
        <v>0.25</v>
      </c>
      <c r="G159" s="2"/>
      <c r="H159" s="2"/>
      <c r="I159" s="2"/>
      <c r="J159" s="2"/>
    </row>
    <row r="160" spans="1:10">
      <c r="A160" s="2" t="s">
        <v>35</v>
      </c>
      <c r="B160" s="2" t="s">
        <v>33</v>
      </c>
      <c r="C160" s="2" t="s">
        <v>119</v>
      </c>
      <c r="D160" s="5">
        <v>5000000</v>
      </c>
      <c r="E160" s="5">
        <v>10000000</v>
      </c>
      <c r="F160" s="6">
        <v>0.1</v>
      </c>
      <c r="G160" s="2"/>
      <c r="H160" s="2"/>
      <c r="I160" s="2"/>
      <c r="J160" s="2"/>
    </row>
    <row r="161" spans="1:10">
      <c r="A161" s="2" t="s">
        <v>35</v>
      </c>
      <c r="B161" s="2" t="s">
        <v>33</v>
      </c>
      <c r="C161" s="2" t="s">
        <v>119</v>
      </c>
      <c r="D161" s="5">
        <v>10000000</v>
      </c>
      <c r="E161" s="5">
        <v>20000000</v>
      </c>
      <c r="F161" s="6">
        <v>0.15</v>
      </c>
      <c r="G161" s="2"/>
      <c r="H161" s="2"/>
      <c r="I161" s="2"/>
      <c r="J161" s="2"/>
    </row>
    <row r="162" spans="1:10">
      <c r="A162" s="2" t="s">
        <v>35</v>
      </c>
      <c r="B162" s="2" t="s">
        <v>33</v>
      </c>
      <c r="C162" s="2" t="s">
        <v>119</v>
      </c>
      <c r="D162" s="5">
        <v>20000000</v>
      </c>
      <c r="E162" s="5">
        <v>999999999</v>
      </c>
      <c r="F162" s="6">
        <v>0.25</v>
      </c>
      <c r="G162" s="2"/>
      <c r="H162" s="2"/>
      <c r="I162" s="2"/>
      <c r="J162" s="2"/>
    </row>
    <row r="163" spans="1:10">
      <c r="A163" s="2" t="s">
        <v>13</v>
      </c>
      <c r="B163" s="2" t="s">
        <v>33</v>
      </c>
      <c r="C163" s="2" t="s">
        <v>119</v>
      </c>
      <c r="D163" s="5">
        <v>5000000</v>
      </c>
      <c r="E163" s="5">
        <v>10000000</v>
      </c>
      <c r="F163" s="6">
        <v>0.1</v>
      </c>
      <c r="G163" s="2"/>
      <c r="H163" s="2"/>
      <c r="I163" s="2"/>
      <c r="J163" s="2"/>
    </row>
    <row r="164" spans="1:10">
      <c r="A164" s="2" t="s">
        <v>13</v>
      </c>
      <c r="B164" s="2" t="s">
        <v>33</v>
      </c>
      <c r="C164" s="2" t="s">
        <v>119</v>
      </c>
      <c r="D164" s="5">
        <v>10000000</v>
      </c>
      <c r="E164" s="5">
        <v>20000000</v>
      </c>
      <c r="F164" s="6">
        <v>0.15</v>
      </c>
      <c r="G164" s="2"/>
      <c r="H164" s="2"/>
      <c r="I164" s="2"/>
      <c r="J164" s="2"/>
    </row>
    <row r="165" spans="1:10">
      <c r="A165" s="2" t="s">
        <v>13</v>
      </c>
      <c r="B165" s="2" t="s">
        <v>33</v>
      </c>
      <c r="C165" s="2" t="s">
        <v>119</v>
      </c>
      <c r="D165" s="5">
        <v>20000000</v>
      </c>
      <c r="E165" s="5">
        <v>999999999</v>
      </c>
      <c r="F165" s="6">
        <v>0.25</v>
      </c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7" t="s">
        <v>39</v>
      </c>
      <c r="B183" s="7" t="s">
        <v>125</v>
      </c>
      <c r="C183" s="2"/>
      <c r="D183" s="2"/>
      <c r="E183" s="2"/>
      <c r="F183" s="2"/>
      <c r="G183" s="2"/>
      <c r="H183" s="2"/>
      <c r="I183" s="2"/>
      <c r="J183" s="2"/>
    </row>
    <row r="184" spans="1:10">
      <c r="A184" s="2" t="s">
        <v>17</v>
      </c>
      <c r="B184" s="6">
        <v>0.03</v>
      </c>
      <c r="C184" s="2"/>
      <c r="D184" s="2"/>
      <c r="E184" s="2"/>
      <c r="F184" s="2"/>
      <c r="G184" s="2"/>
      <c r="H184" s="2"/>
      <c r="I184" s="2"/>
      <c r="J184" s="2"/>
    </row>
    <row r="185" spans="1:10">
      <c r="A185" s="2" t="s">
        <v>21</v>
      </c>
      <c r="B185" s="6">
        <v>0.03</v>
      </c>
      <c r="C185" s="2"/>
      <c r="D185" s="2"/>
      <c r="E185" s="2"/>
      <c r="F185" s="2"/>
      <c r="G185" s="2"/>
      <c r="H185" s="2"/>
      <c r="I185" s="2"/>
      <c r="J185" s="2"/>
    </row>
    <row r="186" spans="1:10">
      <c r="A186" s="2" t="s">
        <v>23</v>
      </c>
      <c r="B186" s="6">
        <v>0.04</v>
      </c>
      <c r="C186" s="2"/>
      <c r="D186" s="2"/>
      <c r="E186" s="2"/>
      <c r="F186" s="2"/>
      <c r="G186" s="2"/>
      <c r="H186" s="2"/>
      <c r="I186" s="2"/>
      <c r="J186" s="2"/>
    </row>
    <row r="187" spans="1:10">
      <c r="A187" s="2" t="s">
        <v>25</v>
      </c>
      <c r="B187" s="6">
        <v>0.04</v>
      </c>
      <c r="C187" s="2"/>
      <c r="D187" s="2"/>
      <c r="E187" s="2"/>
      <c r="F187" s="2"/>
      <c r="G187" s="2"/>
      <c r="H187" s="2"/>
      <c r="I187" s="2"/>
      <c r="J187" s="2"/>
    </row>
    <row r="188" spans="1:10">
      <c r="A188" s="2" t="s">
        <v>26</v>
      </c>
      <c r="B188" s="6">
        <v>0.04</v>
      </c>
      <c r="C188" s="2"/>
      <c r="D188" s="2"/>
      <c r="E188" s="2"/>
      <c r="F188" s="2"/>
      <c r="G188" s="2"/>
      <c r="H188" s="2"/>
      <c r="I188" s="2"/>
      <c r="J188" s="2"/>
    </row>
    <row r="189" spans="1:10">
      <c r="A189" s="2" t="s">
        <v>28</v>
      </c>
      <c r="B189" s="6">
        <v>0.04</v>
      </c>
      <c r="C189" s="2"/>
      <c r="D189" s="2"/>
      <c r="E189" s="2"/>
      <c r="F189" s="2"/>
      <c r="G189" s="2"/>
      <c r="H189" s="2"/>
      <c r="I189" s="2"/>
      <c r="J189" s="2"/>
    </row>
    <row r="190" spans="1:10">
      <c r="A190" s="2" t="s">
        <v>30</v>
      </c>
      <c r="B190" s="6">
        <v>0.04</v>
      </c>
      <c r="C190" s="2"/>
      <c r="D190" s="2"/>
      <c r="E190" s="2"/>
      <c r="F190" s="2"/>
      <c r="G190" s="2"/>
      <c r="H190" s="2"/>
      <c r="I190" s="2"/>
      <c r="J190" s="2"/>
    </row>
    <row r="191" spans="1:10">
      <c r="A191" s="2" t="s">
        <v>32</v>
      </c>
      <c r="B191" s="6">
        <v>0.04</v>
      </c>
      <c r="C191" s="2"/>
      <c r="D191" s="2"/>
      <c r="E191" s="2"/>
      <c r="F191" s="2"/>
      <c r="G191" s="2"/>
      <c r="H191" s="2"/>
      <c r="I191" s="2"/>
      <c r="J191" s="2"/>
    </row>
    <row r="192" spans="1:10">
      <c r="A192" s="2" t="s">
        <v>35</v>
      </c>
      <c r="B192" s="6">
        <v>0.04</v>
      </c>
      <c r="C192" s="2"/>
      <c r="D192" s="2"/>
      <c r="E192" s="2"/>
      <c r="F192" s="2"/>
      <c r="G192" s="2"/>
      <c r="H192" s="2"/>
      <c r="I192" s="2"/>
      <c r="J192" s="2"/>
    </row>
    <row r="193" spans="1:10">
      <c r="A193" s="2" t="s">
        <v>13</v>
      </c>
      <c r="B193" s="6">
        <v>0.04</v>
      </c>
      <c r="C193" s="2"/>
      <c r="D193" s="2"/>
      <c r="E193" s="2"/>
      <c r="F193" s="2"/>
      <c r="G193" s="2"/>
      <c r="H193" s="2"/>
      <c r="I193" s="2"/>
      <c r="J193" s="2"/>
    </row>
  </sheetData>
  <sheetProtection algorithmName="SHA-512" hashValue="xK/xRAdW8GlY4jW5W4gF7A8sV4H3WDdTa0ke3uRtlPQs39NNLDcyvFz6Ra3z980+303WUXe7ycXsZEuVcaWucQ==" saltValue="eQG5L9rYpejQxtjQvIUvYg==" spinCount="100000" sheet="1" objects="1" scenarios="1" selectLockedCells="1" selectUnlockedCells="1"/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5"/>
  <sheetViews>
    <sheetView workbookViewId="0">
      <selection activeCell="A4" sqref="A4"/>
    </sheetView>
  </sheetViews>
  <sheetFormatPr defaultRowHeight="14"/>
  <cols>
    <col min="1" max="17" width="15" customWidth="1"/>
  </cols>
  <sheetData>
    <row r="1" spans="1:17" ht="18">
      <c r="A1" s="129" t="s">
        <v>126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8">
      <c r="A3" s="3" t="s">
        <v>127</v>
      </c>
      <c r="B3" s="3" t="s">
        <v>39</v>
      </c>
      <c r="C3" s="3" t="s">
        <v>43</v>
      </c>
      <c r="D3" s="3" t="s">
        <v>6</v>
      </c>
      <c r="E3" s="3" t="s">
        <v>128</v>
      </c>
      <c r="F3" s="3" t="s">
        <v>129</v>
      </c>
      <c r="G3" s="3" t="s">
        <v>130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131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69</v>
      </c>
    </row>
    <row r="4" spans="1:17">
      <c r="A4" s="4">
        <f>4</f>
        <v>4</v>
      </c>
      <c r="B4" s="4" t="str">
        <f>Source_Data!A4</f>
        <v>2014-15</v>
      </c>
      <c r="C4" s="4" t="str">
        <f>Source_Data!E4</f>
        <v>OLD</v>
      </c>
      <c r="D4" s="4" t="str">
        <f>Source_Data!F4</f>
        <v>Resident-Normal Citizen</v>
      </c>
      <c r="E4" s="4">
        <f>Source_Data!B4</f>
        <v>0</v>
      </c>
      <c r="F4" s="4">
        <f>Source_Data!D4</f>
        <v>0</v>
      </c>
      <c r="G4" s="4">
        <f>ROUND(IF(C4="OLD",MAX(0,MIN(E4,500000)-IF(D4="Resident-Senior Citizen",300000,250000))*IF(B4="2016-17",10%,10%)+MAX(0,MIN(E4,1000000)-500000)*20%+MAX(0,E4-1000000)*30%,IF(OR(B4="2020-21",B4="2021-22",B4="2022-23"),MAX(0,MIN(E4,500000)-250000)*5%+MAX(0,MIN(E4,750000)-500000)*10%+MAX(0,MIN(E4,1000000)-750000)*15%+MAX(0,MIN(E4,1250000)-1000000)*20%+MAX(0,MIN(E4,1500000)-1250000)*25%+MAX(0,E4-1500000)*30%,IF(B4="2023-24",MAX(0,MIN(E4,600000)-300000)*5%+MAX(0,MIN(E4,900000)-600000)*10%+MAX(0,MIN(E4,1200000)-900000)*15%+MAX(0,MIN(E4,1500000)-1200000)*20%+MAX(0,E4-1500000)*30%,IF(B4="2024-25",MAX(0,MIN(E4,700000)-300000)*5%+MAX(0,MIN(E4,1000000)-700000)*10%+MAX(0,MIN(E4,1200000)-1000000)*15%+MAX(0,MIN(E4,1500000)-1200000)*20%+MAX(0,E4-1500000)*30%,IF(B4="2025-26",MAX(0,MIN(E4,800000)-400000)*5%+MAX(0,MIN(E4,1200000)-800000)*10%+MAX(0,MIN(E4,1600000)-1200000)*15%+MAX(0,MIN(E4,2000000)-1600000)*20%+MAX(0,MIN(E4,2400000)-2000000)*25%+MAX(0,E4-2400000)*30%,0))))),2)</f>
        <v>0</v>
      </c>
      <c r="H4" s="4">
        <f t="shared" ref="H4:H15" si="0">ROUND(MAX(IF(C4="OLD",IF(E4&lt;=IF(OR(B4="2014-15",B4="2015-16",B4="2016-17"),500000,IF(OR(B4="2017-18",B4="2018-19"),350000,500000)),MIN(G4,IF(OR(B4="2014-15",B4="2015-16"),2000,IF(B4="2016-17",5000,IF(OR(B4="2017-18",B4="2018-19"),2500,12500)))),0),IF(E4&lt;=IF(OR(B4="2023-24",B4="2024-25"),700000,IF(B4="2025-26",1200000,500000)),MIN(G4,IF(OR(B4="2023-24",B4="2024-25"),25000,IF(B4="2025-26",60000,12500))),0)),IF(AND(C4="NEW",B4="2025-26",E4&gt;1200000),MAX(0,G4-(E4-1200000)),0)),2)</f>
        <v>0</v>
      </c>
      <c r="I4" s="4">
        <f t="shared" ref="I4:I11" si="1">ROUND(IF(C4="OLD",IF(OR(B4="2014-15",B4="2016-17"),IF(E4&lt;=10000000,0,MIN((G4-H4)*15%,MAX(0,(G4-H4)*0%+(E4-10000000)*(70%-30%*0%)))),IF(B4="2015-16",IF(E4&lt;=10000000,0,MIN((G4-H4)*12%,MAX(0,(G4-H4)*0%+(E4-10000000)*(70%-30%*0%)))),IF(OR(B4="2017-18",B4="2018-19"),IF(E4&lt;=5000000,0,IF(E4&lt;=10000000,MIN((G4-H4)*10%,MAX(0,(G4-H4)*0%+(E4-5000000)*(70%-30%*0%))),MIN((G4-H4)*15%,MAX(0,(G4-H4)*10%+(E4-10000000)*(70%-30%*10%))))),IF(E4&lt;=5000000,0,IF(E4&lt;=10000000,MIN((G4-H4)*10%,MAX(0,(G4-H4)*0%+(E4-5000000)*(70%-30%*0%))),IF(E4&lt;=20000000,MIN((G4-H4)*15%,MAX(0,(G4-H4)*10%+(E4-10000000)*(70%-30%*10%))),IF(E4&lt;=50000000,MIN((G4-H4)*25%,MAX(0,(G4-H4)*15%+(E4-20000000)*(70%-30%*15%))),MIN((G4-H4)*37%,MAX(0,(G4-H4)*25%+(E4-50000000)*(70%-30%*25%)))))))))),IF(OR(B4="2023-24",B4="2024-25",B4="2025-26"),IF(E4&lt;=5000000,0,IF(E4&lt;=10000000,MIN((G4-H4)*10%,MAX(0,(G4-H4)*0%+(E4-5000000)*(70%-30%*0%))),IF(E4&lt;=20000000,MIN((G4-H4)*15%,MAX(0,(G4-H4)*10%+(E4-10000000)*(70%-30%*10%))),MIN((G4-H4)*25%,MAX(0,(G4-H4)*15%+(E4-20000000)*(70%-30%*15%)))))),IF(E4&lt;=5000000,0,IF(E4&lt;=10000000,MIN((G4-H4)*10%,MAX(0,(G4-H4)*0%+(E4-5000000)*(70%-30%*0%))),IF(E4&lt;=20000000,MIN((G4-H4)*15%,MAX(0,(G4-H4)*10%+(E4-10000000)*(70%-30%*10%))),IF(E4&lt;=50000000,MIN((G4-H4)*25%,MAX(0,(G4-H4)*15%+(E4-20000000)*(70%-30%*15%))),MIN((G4-H4)*37%,MAX(0,(G4-H4)*25%+(E4-50000000)*(70%-30%*25%))))))))),2)</f>
        <v>0</v>
      </c>
      <c r="J4" s="4">
        <f t="shared" ref="J4:J15" si="2">ROUND((G4-H4+I4)*IF(OR(B4="2014-15",B4="2015-16",B4="2016-17",B4="2017-18"),3%,4%),2)</f>
        <v>0</v>
      </c>
      <c r="K4" s="4">
        <f t="shared" ref="K4:K15" si="3">ROUND(G4-H4+I4+J4,2)</f>
        <v>0</v>
      </c>
      <c r="L4" s="4">
        <f>ROUND(IF(C4="OLD",MAX(0,MIN(F4,500000)-IF(D4="Resident-Senior Citizen",300000,250000))*IF(B4="2016-17",10%,10%)+MAX(0,MIN(F4,1000000)-500000)*20%+MAX(0,F4-1000000)*30%,IF(OR(B4="2020-21",B4="2021-22",B4="2022-23"),MAX(0,MIN(F4,500000)-250000)*5%+MAX(0,MIN(F4,750000)-500000)*10%+MAX(0,MIN(F4,1000000)-750000)*15%+MAX(0,MIN(F4,1250000)-1000000)*20%+MAX(0,MIN(F4,1500000)-1250000)*25%+MAX(0,F4-1500000)*30%,IF(B4="2023-24",MAX(0,MIN(F4,600000)-300000)*5%+MAX(0,MIN(F4,900000)-600000)*10%+MAX(0,MIN(F4,1200000)-900000)*15%+MAX(0,MIN(F4,1500000)-1200000)*20%+MAX(0,F4-1500000)*30%,IF(B4="2024-25",MAX(0,MIN(F4,700000)-300000)*5%+MAX(0,MIN(F4,1000000)-700000)*10%+MAX(0,MIN(F4,1200000)-1000000)*15%+MAX(0,MIN(F4,1500000)-1200000)*20%+MAX(0,F4-1500000)*30%,IF(B4="2025-26",MAX(0,MIN(F4,800000)-400000)*5%+MAX(0,MIN(F4,1200000)-800000)*10%+MAX(0,MIN(F4,1600000)-1200000)*15%+MAX(0,MIN(F4,2000000)-1600000)*20%+MAX(0,MIN(F4,2400000)-2000000)*25%+MAX(0,F4-2400000)*30%,0))))),2)</f>
        <v>0</v>
      </c>
      <c r="M4" s="4">
        <f t="shared" ref="M4:M15" si="4">ROUND(MAX(IF(C4="OLD",IF(F4&lt;=IF(OR(B4="2014-15",B4="2015-16",B4="2016-17"),500000,IF(OR(B4="2017-18",B4="2018-19"),350000,500000)),MIN(L4,IF(OR(B4="2014-15",B4="2015-16"),2000,IF(B4="2016-17",5000,IF(OR(B4="2017-18",B4="2018-19"),2500,12500)))),0),IF(F4&lt;=IF(OR(B4="2023-24",B4="2024-25"),700000,IF(B4="2025-26",1200000,500000)),MIN(L4,IF(OR(B4="2023-24",B4="2024-25"),25000,IF(B4="2025-26",60000,12500))),0)),IF(AND(C4="NEW",B4="2025-26",F4&gt;1200000),MAX(0,L4-(F4-1200000)),0)),2)</f>
        <v>0</v>
      </c>
      <c r="N4" s="4">
        <f t="shared" ref="N4:N11" si="5">ROUND(IF(C4="OLD",IF(OR(B4="2014-15",B4="2016-17"),IF(F4&lt;=10000000,0,MIN((L4-M4)*15%,MAX(0,(L4-M4)*0%+(F4-10000000)*(70%-30%*0%)))),IF(B4="2015-16",IF(F4&lt;=10000000,0,MIN((L4-M4)*12%,MAX(0,(L4-M4)*0%+(F4-10000000)*(70%-30%*0%)))),IF(OR(B4="2017-18",B4="2018-19"),IF(F4&lt;=5000000,0,IF(F4&lt;=10000000,MIN((L4-M4)*10%,MAX(0,(L4-M4)*0%+(F4-5000000)*(70%-30%*0%))),MIN((L4-M4)*15%,MAX(0,(L4-M4)*10%+(F4-10000000)*(70%-30%*10%))))),IF(F4&lt;=5000000,0,IF(F4&lt;=10000000,MIN((L4-M4)*10%,MAX(0,(L4-M4)*0%+(F4-5000000)*(70%-30%*0%))),IF(F4&lt;=20000000,MIN((L4-M4)*15%,MAX(0,(L4-M4)*10%+(F4-10000000)*(70%-30%*10%))),IF(F4&lt;=50000000,MIN((L4-M4)*25%,MAX(0,(L4-M4)*15%+(F4-20000000)*(70%-30%*15%))),MIN((L4-M4)*37%,MAX(0,(L4-M4)*25%+(F4-50000000)*(70%-30%*25%)))))))))),IF(OR(B4="2023-24",B4="2024-25",B4="2025-26"),IF(F4&lt;=5000000,0,IF(F4&lt;=10000000,MIN((L4-M4)*10%,MAX(0,(L4-M4)*0%+(F4-5000000)*(70%-30%*0%))),IF(F4&lt;=20000000,MIN((L4-M4)*15%,MAX(0,(L4-M4)*10%+(F4-10000000)*(70%-30%*10%))),MIN((L4-M4)*25%,MAX(0,(L4-M4)*15%+(F4-20000000)*(70%-30%*15%)))))),IF(F4&lt;=5000000,0,IF(F4&lt;=10000000,MIN((L4-M4)*10%,MAX(0,(L4-M4)*0%+(F4-5000000)*(70%-30%*0%))),IF(F4&lt;=20000000,MIN((L4-M4)*15%,MAX(0,(L4-M4)*10%+(F4-10000000)*(70%-30%*10%))),IF(F4&lt;=50000000,MIN((L4-M4)*25%,MAX(0,(L4-M4)*15%+(F4-20000000)*(70%-30%*15%))),MIN((L4-M4)*37%,MAX(0,(L4-M4)*25%+(F4-50000000)*(70%-30%*25%))))))))),2)</f>
        <v>0</v>
      </c>
      <c r="O4" s="4">
        <f t="shared" ref="O4:O15" si="6">ROUND((L4-M4+N4)*IF(OR(B4="2014-15",B4="2015-16",B4="2016-17",B4="2017-18"),3%,4%),2)</f>
        <v>0</v>
      </c>
      <c r="P4" s="4">
        <f t="shared" ref="P4:P15" si="7">ROUND(L4-M4+N4+O4,2)</f>
        <v>0</v>
      </c>
      <c r="Q4" s="4">
        <f t="shared" ref="Q4:Q15" si="8">ROUND(P4-K4,2)</f>
        <v>0</v>
      </c>
    </row>
    <row r="5" spans="1:17">
      <c r="A5" s="4">
        <f>5</f>
        <v>5</v>
      </c>
      <c r="B5" s="4" t="str">
        <f>Source_Data!A5</f>
        <v>2015-16</v>
      </c>
      <c r="C5" s="4" t="str">
        <f>Source_Data!E5</f>
        <v>OLD</v>
      </c>
      <c r="D5" s="4" t="str">
        <f>Source_Data!F5</f>
        <v>Resident-Normal Citizen</v>
      </c>
      <c r="E5" s="4">
        <f>Source_Data!B5</f>
        <v>0</v>
      </c>
      <c r="F5" s="4">
        <f>Source_Data!D5</f>
        <v>0</v>
      </c>
      <c r="G5" s="4">
        <f>ROUND(IF(C5="OLD",MAX(0,MIN(E5,500000)-IF(D5="Resident-Senior Citizen",300000,250000))*IF(B5="2016-17",10%,10%)+MAX(0,MIN(E5,1000000)-500000)*20%+MAX(0,E5-1000000)*30%,IF(OR(B5="2020-21",B5="2021-22",B5="2022-23"),MAX(0,MIN(E5,500000)-250000)*5%+MAX(0,MIN(E5,750000)-500000)*10%+MAX(0,MIN(E5,1000000)-750000)*15%+MAX(0,MIN(E5,1250000)-1000000)*20%+MAX(0,MIN(E5,1500000)-1250000)*25%+MAX(0,E5-1500000)*30%,IF(B5="2023-24",MAX(0,MIN(E5,600000)-300000)*5%+MAX(0,MIN(E5,900000)-600000)*10%+MAX(0,MIN(E5,1200000)-900000)*15%+MAX(0,MIN(E5,1500000)-1200000)*20%+MAX(0,E5-1500000)*30%,IF(B5="2024-25",MAX(0,MIN(E5,700000)-300000)*5%+MAX(0,MIN(E5,1000000)-700000)*10%+MAX(0,MIN(E5,1200000)-1000000)*15%+MAX(0,MIN(E5,1500000)-1200000)*20%+MAX(0,E5-1500000)*30%,IF(B5="2025-26",MAX(0,MIN(E5,800000)-400000)*5%+MAX(0,MIN(E5,1200000)-800000)*10%+MAX(0,MIN(E5,1600000)-1200000)*15%+MAX(0,MIN(E5,2000000)-1600000)*20%+MAX(0,MIN(E5,2400000)-2000000)*25%+MAX(0,E5-2400000)*30%,0))))),2)</f>
        <v>0</v>
      </c>
      <c r="H5" s="4">
        <f t="shared" si="0"/>
        <v>0</v>
      </c>
      <c r="I5" s="4">
        <f t="shared" si="1"/>
        <v>0</v>
      </c>
      <c r="J5" s="4">
        <f t="shared" si="2"/>
        <v>0</v>
      </c>
      <c r="K5" s="4">
        <f t="shared" si="3"/>
        <v>0</v>
      </c>
      <c r="L5" s="4">
        <f>ROUND(IF(C5="OLD",MAX(0,MIN(F5,500000)-IF(D5="Resident-Senior Citizen",300000,250000))*IF(B5="2016-17",10%,10%)+MAX(0,MIN(F5,1000000)-500000)*20%+MAX(0,F5-1000000)*30%,IF(OR(B5="2020-21",B5="2021-22",B5="2022-23"),MAX(0,MIN(F5,500000)-250000)*5%+MAX(0,MIN(F5,750000)-500000)*10%+MAX(0,MIN(F5,1000000)-750000)*15%+MAX(0,MIN(F5,1250000)-1000000)*20%+MAX(0,MIN(F5,1500000)-1250000)*25%+MAX(0,F5-1500000)*30%,IF(B5="2023-24",MAX(0,MIN(F5,600000)-300000)*5%+MAX(0,MIN(F5,900000)-600000)*10%+MAX(0,MIN(F5,1200000)-900000)*15%+MAX(0,MIN(F5,1500000)-1200000)*20%+MAX(0,F5-1500000)*30%,IF(B5="2024-25",MAX(0,MIN(F5,700000)-300000)*5%+MAX(0,MIN(F5,1000000)-700000)*10%+MAX(0,MIN(F5,1200000)-1000000)*15%+MAX(0,MIN(F5,1500000)-1200000)*20%+MAX(0,F5-1500000)*30%,IF(B5="2025-26",MAX(0,MIN(F5,800000)-400000)*5%+MAX(0,MIN(F5,1200000)-800000)*10%+MAX(0,MIN(F5,1600000)-1200000)*15%+MAX(0,MIN(F5,2000000)-1600000)*20%+MAX(0,MIN(F5,2400000)-2000000)*25%+MAX(0,F5-2400000)*30%,0))))),2)</f>
        <v>0</v>
      </c>
      <c r="M5" s="4">
        <f t="shared" si="4"/>
        <v>0</v>
      </c>
      <c r="N5" s="4">
        <f t="shared" si="5"/>
        <v>0</v>
      </c>
      <c r="O5" s="4">
        <f t="shared" si="6"/>
        <v>0</v>
      </c>
      <c r="P5" s="4">
        <f t="shared" si="7"/>
        <v>0</v>
      </c>
      <c r="Q5" s="4">
        <f t="shared" si="8"/>
        <v>0</v>
      </c>
    </row>
    <row r="6" spans="1:17">
      <c r="A6" s="4">
        <f>6</f>
        <v>6</v>
      </c>
      <c r="B6" s="4" t="str">
        <f>Source_Data!A6</f>
        <v>2016-17</v>
      </c>
      <c r="C6" s="4" t="str">
        <f>Source_Data!E6</f>
        <v>OLD</v>
      </c>
      <c r="D6" s="4" t="str">
        <f>Source_Data!F6</f>
        <v>Resident-Senior Citizen</v>
      </c>
      <c r="E6" s="4">
        <f>Source_Data!B6</f>
        <v>0</v>
      </c>
      <c r="F6" s="4">
        <f>Source_Data!D6</f>
        <v>0</v>
      </c>
      <c r="G6" s="4">
        <f t="shared" ref="G6:G15" si="9">ROUND(IF(C6="OLD",MAX(0,MIN(E6,500000)-IF(D6="Resident-Senior Citizen",300000,250000))*IF(B6="2016-17",10%,5%)+MAX(0,MIN(E6,1000000)-500000)*20%+MAX(0,E6-1000000)*30%,IF(OR(B6="2020-21",B6="2021-22",B6="2022-23"),MAX(0,MIN(E6,500000)-250000)*5%+MAX(0,MIN(E6,750000)-500000)*10%+MAX(0,MIN(E6,1000000)-750000)*15%+MAX(0,MIN(E6,1250000)-1000000)*20%+MAX(0,MIN(E6,1500000)-1250000)*25%+MAX(0,E6-1500000)*30%,IF(B6="2023-24",MAX(0,MIN(E6,600000)-300000)*5%+MAX(0,MIN(E6,900000)-600000)*10%+MAX(0,MIN(E6,1200000)-900000)*15%+MAX(0,MIN(E6,1500000)-1200000)*20%+MAX(0,E6-1500000)*30%,IF(B6="2024-25",MAX(0,MIN(E6,700000)-300000)*5%+MAX(0,MIN(E6,1000000)-700000)*10%+MAX(0,MIN(E6,1200000)-1000000)*15%+MAX(0,MIN(E6,1500000)-1200000)*20%+MAX(0,E6-1500000)*30%,IF(B6="2025-26",MAX(0,MIN(E6,800000)-400000)*5%+MAX(0,MIN(E6,1200000)-800000)*10%+MAX(0,MIN(E6,1600000)-1200000)*15%+MAX(0,MIN(E6,2000000)-1600000)*20%+MAX(0,MIN(E6,2400000)-2000000)*25%+MAX(0,E6-2400000)*30%,0))))),2)</f>
        <v>0</v>
      </c>
      <c r="H6" s="4">
        <f t="shared" si="0"/>
        <v>0</v>
      </c>
      <c r="I6" s="4">
        <f t="shared" si="1"/>
        <v>0</v>
      </c>
      <c r="J6" s="4">
        <f t="shared" si="2"/>
        <v>0</v>
      </c>
      <c r="K6" s="4">
        <f t="shared" si="3"/>
        <v>0</v>
      </c>
      <c r="L6" s="4">
        <f t="shared" ref="L6:L15" si="10">ROUND(IF(C6="OLD",MAX(0,MIN(F6,500000)-IF(D6="Resident-Senior Citizen",300000,250000))*IF(B6="2016-17",10%,5%)+MAX(0,MIN(F6,1000000)-500000)*20%+MAX(0,F6-1000000)*30%,IF(OR(B6="2020-21",B6="2021-22",B6="2022-23"),MAX(0,MIN(F6,500000)-250000)*5%+MAX(0,MIN(F6,750000)-500000)*10%+MAX(0,MIN(F6,1000000)-750000)*15%+MAX(0,MIN(F6,1250000)-1000000)*20%+MAX(0,MIN(F6,1500000)-1250000)*25%+MAX(0,F6-1500000)*30%,IF(B6="2023-24",MAX(0,MIN(F6,600000)-300000)*5%+MAX(0,MIN(F6,900000)-600000)*10%+MAX(0,MIN(F6,1200000)-900000)*15%+MAX(0,MIN(F6,1500000)-1200000)*20%+MAX(0,F6-1500000)*30%,IF(B6="2024-25",MAX(0,MIN(F6,700000)-300000)*5%+MAX(0,MIN(F6,1000000)-700000)*10%+MAX(0,MIN(F6,1200000)-1000000)*15%+MAX(0,MIN(F6,1500000)-1200000)*20%+MAX(0,F6-1500000)*30%,IF(B6="2025-26",MAX(0,MIN(F6,800000)-400000)*5%+MAX(0,MIN(F6,1200000)-800000)*10%+MAX(0,MIN(F6,1600000)-1200000)*15%+MAX(0,MIN(F6,2000000)-1600000)*20%+MAX(0,MIN(F6,2400000)-2000000)*25%+MAX(0,F6-2400000)*30%,0))))),2)</f>
        <v>0</v>
      </c>
      <c r="M6" s="4">
        <f t="shared" si="4"/>
        <v>0</v>
      </c>
      <c r="N6" s="4">
        <f t="shared" si="5"/>
        <v>0</v>
      </c>
      <c r="O6" s="4">
        <f t="shared" si="6"/>
        <v>0</v>
      </c>
      <c r="P6" s="4">
        <f t="shared" si="7"/>
        <v>0</v>
      </c>
      <c r="Q6" s="4">
        <f t="shared" si="8"/>
        <v>0</v>
      </c>
    </row>
    <row r="7" spans="1:17">
      <c r="A7" s="4">
        <f>7</f>
        <v>7</v>
      </c>
      <c r="B7" s="4" t="str">
        <f>Source_Data!A7</f>
        <v>2017-18</v>
      </c>
      <c r="C7" s="4" t="str">
        <f>Source_Data!E7</f>
        <v>OLD</v>
      </c>
      <c r="D7" s="4" t="str">
        <f>Source_Data!F7</f>
        <v>Resident-Senior Citizen</v>
      </c>
      <c r="E7" s="4">
        <f>Source_Data!B7</f>
        <v>0</v>
      </c>
      <c r="F7" s="4">
        <f>Source_Data!D7</f>
        <v>0</v>
      </c>
      <c r="G7" s="4">
        <f t="shared" si="9"/>
        <v>0</v>
      </c>
      <c r="H7" s="4">
        <f t="shared" si="0"/>
        <v>0</v>
      </c>
      <c r="I7" s="4">
        <f t="shared" si="1"/>
        <v>0</v>
      </c>
      <c r="J7" s="4">
        <f t="shared" si="2"/>
        <v>0</v>
      </c>
      <c r="K7" s="4">
        <f t="shared" si="3"/>
        <v>0</v>
      </c>
      <c r="L7" s="4">
        <f t="shared" si="10"/>
        <v>0</v>
      </c>
      <c r="M7" s="4">
        <f t="shared" si="4"/>
        <v>0</v>
      </c>
      <c r="N7" s="4">
        <f t="shared" si="5"/>
        <v>0</v>
      </c>
      <c r="O7" s="4">
        <f t="shared" si="6"/>
        <v>0</v>
      </c>
      <c r="P7" s="4">
        <f t="shared" si="7"/>
        <v>0</v>
      </c>
      <c r="Q7" s="4">
        <f t="shared" si="8"/>
        <v>0</v>
      </c>
    </row>
    <row r="8" spans="1:17">
      <c r="A8" s="4">
        <f>8</f>
        <v>8</v>
      </c>
      <c r="B8" s="4" t="str">
        <f>Source_Data!A8</f>
        <v>2018-19</v>
      </c>
      <c r="C8" s="4" t="str">
        <f>Source_Data!E8</f>
        <v>OLD</v>
      </c>
      <c r="D8" s="4" t="str">
        <f>Source_Data!F8</f>
        <v>Resident-Normal Citizen</v>
      </c>
      <c r="E8" s="4">
        <f>Source_Data!B8</f>
        <v>0</v>
      </c>
      <c r="F8" s="4">
        <f>Source_Data!D8</f>
        <v>0</v>
      </c>
      <c r="G8" s="4">
        <f t="shared" si="9"/>
        <v>0</v>
      </c>
      <c r="H8" s="4">
        <f t="shared" si="0"/>
        <v>0</v>
      </c>
      <c r="I8" s="4">
        <f t="shared" si="1"/>
        <v>0</v>
      </c>
      <c r="J8" s="4">
        <f t="shared" si="2"/>
        <v>0</v>
      </c>
      <c r="K8" s="4">
        <f t="shared" si="3"/>
        <v>0</v>
      </c>
      <c r="L8" s="4">
        <f t="shared" si="10"/>
        <v>0</v>
      </c>
      <c r="M8" s="4">
        <f t="shared" si="4"/>
        <v>0</v>
      </c>
      <c r="N8" s="4">
        <f t="shared" si="5"/>
        <v>0</v>
      </c>
      <c r="O8" s="4">
        <f t="shared" si="6"/>
        <v>0</v>
      </c>
      <c r="P8" s="4">
        <f t="shared" si="7"/>
        <v>0</v>
      </c>
      <c r="Q8" s="4">
        <f t="shared" si="8"/>
        <v>0</v>
      </c>
    </row>
    <row r="9" spans="1:17">
      <c r="A9" s="4">
        <f>9</f>
        <v>9</v>
      </c>
      <c r="B9" s="4" t="str">
        <f>Source_Data!A9</f>
        <v>2019-20</v>
      </c>
      <c r="C9" s="4" t="str">
        <f>Source_Data!E9</f>
        <v>OLD</v>
      </c>
      <c r="D9" s="4" t="str">
        <f>Source_Data!F9</f>
        <v>Resident-Normal Citizen</v>
      </c>
      <c r="E9" s="4">
        <f>Source_Data!B9</f>
        <v>0</v>
      </c>
      <c r="F9" s="4">
        <f>Source_Data!D9</f>
        <v>0</v>
      </c>
      <c r="G9" s="4">
        <f t="shared" si="9"/>
        <v>0</v>
      </c>
      <c r="H9" s="4">
        <f t="shared" si="0"/>
        <v>0</v>
      </c>
      <c r="I9" s="4">
        <f t="shared" si="1"/>
        <v>0</v>
      </c>
      <c r="J9" s="4">
        <f t="shared" si="2"/>
        <v>0</v>
      </c>
      <c r="K9" s="4">
        <f t="shared" si="3"/>
        <v>0</v>
      </c>
      <c r="L9" s="4">
        <f t="shared" si="10"/>
        <v>0</v>
      </c>
      <c r="M9" s="4">
        <f t="shared" si="4"/>
        <v>0</v>
      </c>
      <c r="N9" s="4">
        <f t="shared" si="5"/>
        <v>0</v>
      </c>
      <c r="O9" s="4">
        <f t="shared" si="6"/>
        <v>0</v>
      </c>
      <c r="P9" s="4">
        <f t="shared" si="7"/>
        <v>0</v>
      </c>
      <c r="Q9" s="4">
        <f t="shared" si="8"/>
        <v>0</v>
      </c>
    </row>
    <row r="10" spans="1:17">
      <c r="A10" s="4">
        <f>10</f>
        <v>10</v>
      </c>
      <c r="B10" s="4" t="str">
        <f>Source_Data!A10</f>
        <v>2020-21</v>
      </c>
      <c r="C10" s="4" t="str">
        <f>Source_Data!E10</f>
        <v>OLD</v>
      </c>
      <c r="D10" s="4" t="str">
        <f>Source_Data!F10</f>
        <v>Resident-Senior Citizen</v>
      </c>
      <c r="E10" s="4">
        <f>Source_Data!B10</f>
        <v>0</v>
      </c>
      <c r="F10" s="4">
        <f>Source_Data!D10</f>
        <v>0</v>
      </c>
      <c r="G10" s="4">
        <f t="shared" si="9"/>
        <v>0</v>
      </c>
      <c r="H10" s="4">
        <f t="shared" si="0"/>
        <v>0</v>
      </c>
      <c r="I10" s="4">
        <f t="shared" si="1"/>
        <v>0</v>
      </c>
      <c r="J10" s="4">
        <f t="shared" si="2"/>
        <v>0</v>
      </c>
      <c r="K10" s="4">
        <f t="shared" si="3"/>
        <v>0</v>
      </c>
      <c r="L10" s="4">
        <f t="shared" si="10"/>
        <v>0</v>
      </c>
      <c r="M10" s="4">
        <f t="shared" si="4"/>
        <v>0</v>
      </c>
      <c r="N10" s="4">
        <f t="shared" si="5"/>
        <v>0</v>
      </c>
      <c r="O10" s="4">
        <f t="shared" si="6"/>
        <v>0</v>
      </c>
      <c r="P10" s="4">
        <f t="shared" si="7"/>
        <v>0</v>
      </c>
      <c r="Q10" s="4">
        <f t="shared" si="8"/>
        <v>0</v>
      </c>
    </row>
    <row r="11" spans="1:17">
      <c r="A11" s="4">
        <f>11</f>
        <v>11</v>
      </c>
      <c r="B11" s="4" t="str">
        <f>Source_Data!A11</f>
        <v>2021-22</v>
      </c>
      <c r="C11" s="4" t="str">
        <f>Source_Data!E11</f>
        <v>OLD</v>
      </c>
      <c r="D11" s="4" t="str">
        <f>Source_Data!F11</f>
        <v>Resident-Senior Citizen</v>
      </c>
      <c r="E11" s="4">
        <f>Source_Data!B11</f>
        <v>0</v>
      </c>
      <c r="F11" s="4">
        <f>Source_Data!D11</f>
        <v>0</v>
      </c>
      <c r="G11" s="4">
        <f t="shared" si="9"/>
        <v>0</v>
      </c>
      <c r="H11" s="4">
        <f t="shared" si="0"/>
        <v>0</v>
      </c>
      <c r="I11" s="4">
        <f t="shared" si="1"/>
        <v>0</v>
      </c>
      <c r="J11" s="4">
        <f t="shared" si="2"/>
        <v>0</v>
      </c>
      <c r="K11" s="4">
        <f t="shared" si="3"/>
        <v>0</v>
      </c>
      <c r="L11" s="4">
        <f t="shared" si="10"/>
        <v>0</v>
      </c>
      <c r="M11" s="4">
        <f t="shared" si="4"/>
        <v>0</v>
      </c>
      <c r="N11" s="4">
        <f t="shared" si="5"/>
        <v>0</v>
      </c>
      <c r="O11" s="4">
        <f t="shared" si="6"/>
        <v>0</v>
      </c>
      <c r="P11" s="4">
        <f t="shared" si="7"/>
        <v>0</v>
      </c>
      <c r="Q11" s="4">
        <f t="shared" si="8"/>
        <v>0</v>
      </c>
    </row>
    <row r="12" spans="1:17">
      <c r="A12" s="4">
        <f>12</f>
        <v>12</v>
      </c>
      <c r="B12" s="4" t="str">
        <f>Source_Data!A12</f>
        <v>2022-23</v>
      </c>
      <c r="C12" s="4" t="str">
        <f>Source_Data!E12</f>
        <v>NEW</v>
      </c>
      <c r="D12" s="4" t="str">
        <f>Source_Data!F12</f>
        <v>Resident-Senior Citizen</v>
      </c>
      <c r="E12" s="4">
        <f>Source_Data!B12</f>
        <v>0</v>
      </c>
      <c r="F12" s="4">
        <f>Source_Data!D12</f>
        <v>0</v>
      </c>
      <c r="G12" s="4">
        <f t="shared" si="9"/>
        <v>0</v>
      </c>
      <c r="H12" s="4">
        <f t="shared" si="0"/>
        <v>0</v>
      </c>
      <c r="I12" s="4">
        <f>ROUND(IF(C12="OLD",IF(OR(B12="2014-15",B12="2016-17"),IF(E12&lt;=10000000,0,MIN((G12-H12)*15%,MAX(0,(G12-H12)*0%+(E12-10000000)*(70%-30%*0%)))),IF(B12="2015-16",IF(E12&lt;=10000000,0,MIN((G12-H12)*12%,MAX(0,(G12-H12)*0%+(E12-10000000)*(70%-30%*0%)))),IF(OR(B12="2017-18",B12="2018-19"),IF(E12&lt;=5000000,0,IF(E12&lt;=10000000,MIN((G12-H12)*10%,MAX(0,(G12-H12)*0%+(E12-5000000)*(70%-30%*0%))),MIN((G12-H12)*15%,MAX(0,(G12-H12)*10%+(E12-10000000)*(70%-30%*10%))))),IF(E12&lt;=5000000,0,IF(E12&lt;=10000000,MIN((G12-H12)*10%,MAX(0,(G12-H12)*0%+(E12-5000000)*(70%-30%*0%))),IF(E12&lt;=20000000,MIN((G12-H12)*15%,MAX(0,(G12-H12)*10%+(E12-10000000)*(70%-30%*10%))),IF(E12&lt;=50000000,MIN((G12-H12)*25%,MAX(0,(G12-H12)*15%+(E12-20000000)*(70%-30%*15%))),MIN((G12-H12)*37%,MAX(0,(G12-H12)*25%+(E12-50000000)*(70%-30%*25%)))))))))),IF(OR(B12="2023-24",B12="2024-25",B12="2025-26"),IF(E12&lt;=5000000,0,IF(E12&lt;=10000000,MIN((G12-H12)*10%,MAX(0,(G12-H12)*0%+(E12-5000000)*(70%-30%*0%))),IF(E12&lt;=20000000,MIN((G12-H12)*15%,MAX(0,(G12-H12)*10%+(E12-10000000)*(70%-30%*10%))),MIN((G12-H12)*25%,MAX(0,(G12-H12)*15%+(E12-20000000)*(70%-30%*15%)))))),IF(E12&lt;=5000000,0,IF(E12&lt;=10000000,MIN((G12-H12)*10%,MAX(0,(G12-H12)*0%+(E12-5000000)*(70%-30%*0%))),IF(E12&lt;=20000000,MIN((G12-H12)*15%,MAX(0,(G12-H12)*10%+(E12-10000000)*(70%-30%*10%))),IF(E12&lt;=50000000,MIN((G12-H12)*25%,MAX(0,(G12-H12)*15%+(E12-20000000)*(70%-30%*15%))),MIN((G12-H12)*37%,MAX(0,(G12-H12)*25%+(E12-50000000)*(70%-30%*25%))))))))),2)</f>
        <v>0</v>
      </c>
      <c r="J12" s="4">
        <f t="shared" si="2"/>
        <v>0</v>
      </c>
      <c r="K12" s="4">
        <f t="shared" si="3"/>
        <v>0</v>
      </c>
      <c r="L12" s="4">
        <f t="shared" si="10"/>
        <v>0</v>
      </c>
      <c r="M12" s="4">
        <f t="shared" si="4"/>
        <v>0</v>
      </c>
      <c r="N12" s="4">
        <f>ROUND(IF(C12="OLD",IF(OR(B12="2014-15",B12="2016-17"),IF(F12&lt;=10000000,0,MIN((L12-M12)*15%,MAX(0,(L12-M12)*0%+(F12-10000000)*(70%-30%*0%)))),IF(B12="2015-16",IF(F12&lt;=10000000,0,MIN((L12-M12)*12%,MAX(0,(L12-M12)*0%+(F12-10000000)*(70%-30%*0%)))),IF(OR(B12="2017-18",B12="2018-19"),IF(F12&lt;=5000000,0,IF(F12&lt;=10000000,MIN((L12-M12)*10%,MAX(0,(L12-M12)*0%+(F12-5000000)*(70%-30%*0%))),MIN((L12-M12)*15%,MAX(0,(L12-M12)*10%+(F12-10000000)*(70%-30%*10%))))),IF(F12&lt;=5000000,0,IF(F12&lt;=10000000,MIN((L12-M12)*10%,MAX(0,(L12-M12)*0%+(F12-5000000)*(70%-30%*0%))),IF(F12&lt;=20000000,MIN((L12-M12)*15%,MAX(0,(L12-M12)*10%+(F12-10000000)*(70%-30%*10%))),IF(F12&lt;=50000000,MIN((L12-M12)*25%,MAX(0,(L12-M12)*15%+(F12-20000000)*(70%-30%*15%))),MIN((L12-M12)*37%,MAX(0,(L12-M12)*25%+(F12-50000000)*(70%-30%*25%)))))))))),IF(OR(B12="2023-24",B12="2024-25",B12="2025-26"),IF(F12&lt;=5000000,0,IF(F12&lt;=10000000,MIN((L12-M12)*10%,MAX(0,(L12-M12)*0%+(F12-5000000)*(70%-30%*0%))),IF(F12&lt;=20000000,MIN((L12-M12)*15%,MAX(0,(L12-M12)*10%+(F12-10000000)*(70%-30%*10%))),MIN((L12-M12)*25%,MAX(0,(L12-M12)*15%+(F12-20000000)*(70%-30%*15%)))))),IF(F12&lt;=5000000,0,IF(F12&lt;=10000000,MIN((L12-M12)*10%,MAX(0,(L12-M12)*0%+(F12-5000000)*(70%-30%*0%))),IF(F12&lt;=20000000,MIN((L12-M12)*15%,MAX(0,(L12-M12)*10%+(F12-10000000)*(70%-30%*10%))),IF(F12&lt;=50000000,MIN((L12-M12)*25%,MAX(0,(L12-M12)*15%+(F12-20000000)*(70%-30%*15%))),MIN((L12-M12)*37%,MAX(0,(L12-M12)*25%+(F12-50000000)*(70%-30%*25%))))))))),2)</f>
        <v>0</v>
      </c>
      <c r="O12" s="4">
        <f t="shared" si="6"/>
        <v>0</v>
      </c>
      <c r="P12" s="4">
        <f t="shared" si="7"/>
        <v>0</v>
      </c>
      <c r="Q12" s="4">
        <f t="shared" si="8"/>
        <v>0</v>
      </c>
    </row>
    <row r="13" spans="1:17">
      <c r="A13" s="4">
        <f>13</f>
        <v>13</v>
      </c>
      <c r="B13" s="4" t="str">
        <f>Source_Data!A13</f>
        <v>2023-24</v>
      </c>
      <c r="C13" s="4" t="str">
        <f>Source_Data!E13</f>
        <v>NEW</v>
      </c>
      <c r="D13" s="4" t="str">
        <f>Source_Data!F13</f>
        <v>Resident-Senior Citizen</v>
      </c>
      <c r="E13" s="4">
        <f>Source_Data!B13</f>
        <v>0</v>
      </c>
      <c r="F13" s="4">
        <f>Source_Data!D13</f>
        <v>0</v>
      </c>
      <c r="G13" s="4">
        <f t="shared" si="9"/>
        <v>0</v>
      </c>
      <c r="H13" s="4">
        <f t="shared" si="0"/>
        <v>0</v>
      </c>
      <c r="I13" s="4">
        <f>ROUND(IF(C13="OLD",IF(OR(B13="2014-15",B13="2016-17"),IF(E13&lt;=10000000,0,MIN((G13-H13)*15%,MAX(0,(G13-H13)*0%+(E13-10000000)*(70%-30%*0%)))),IF(B13="2015-16",IF(E13&lt;=10000000,0,MIN((G13-H13)*12%,MAX(0,(G13-H13)*0%+(E13-10000000)*(70%-30%*0%)))),IF(OR(B13="2017-18",B13="2018-19"),IF(E13&lt;=5000000,0,IF(E13&lt;=10000000,MIN((G13-H13)*10%,MAX(0,(G13-H13)*0%+(E13-5000000)*(70%-30%*0%))),MIN((G13-H13)*15%,MAX(0,(G13-H13)*10%+(E13-10000000)*(70%-30%*10%))))),IF(E13&lt;=5000000,0,IF(E13&lt;=10000000,MIN((G13-H13)*10%,MAX(0,(G13-H13)*0%+(E13-5000000)*(70%-30%*0%))),IF(E13&lt;=20000000,MIN((G13-H13)*15%,MAX(0,(G13-H13)*10%+(E13-10000000)*(70%-30%*10%))),IF(E13&lt;=50000000,MIN((G13-H13)*25%,MAX(0,(G13-H13)*15%+(E13-20000000)*(70%-30%*15%))),MIN((G13-H13)*37%,MAX(0,(G13-H13)*25%+(E13-50000000)*(70%-30%*25%)))))))))),IF(OR(B13="2023-24",B13="2024-25",B13="2025-26"),IF(E13&lt;=5000000,0,IF(E13&lt;=10000000,MIN((G13-H13)*10%,MAX(0,(G13-H13)*0%+(E13-5000000)*(70%-30%*0%))),IF(E13&lt;=20000000,MIN((G13-H13)*15%,MAX(0,(G13-H13)*10%+(E13-10000000)*(70%-30%*10%))),MIN((G13-H13)*25%,MAX(0,(G13-H13)*15%+(E13-20000000)*(70%-30%*15%)))))),IF(E13&lt;=5000000,0,IF(E13&lt;=10000000,MIN((G13-H13)*10%,MAX(0,(G13-H13)*0%+(E13-5000000)*(70%-30%*0%))),IF(E13&lt;=20000000,MIN((G13-H13)*15%,MAX(0,(G13-H13)*10%+(E13-10000000)*(70%-30%*10%))),IF(E13&lt;=50000000,MIN((G13-H13)*25%,MAX(0,(G13-H13)*15%+(E13-20000000)*(70%-30%*15%))),MIN((G13-H13)*37%,MAX(0,(G13-H13)*25%+(E13-50000000)*(70%-30%*25%))))))))),2)</f>
        <v>0</v>
      </c>
      <c r="J13" s="4">
        <f t="shared" si="2"/>
        <v>0</v>
      </c>
      <c r="K13" s="4">
        <f t="shared" si="3"/>
        <v>0</v>
      </c>
      <c r="L13" s="4">
        <f t="shared" si="10"/>
        <v>0</v>
      </c>
      <c r="M13" s="4">
        <f t="shared" si="4"/>
        <v>0</v>
      </c>
      <c r="N13" s="4">
        <f>ROUND(IF(C13="OLD",IF(OR(B13="2014-15",B13="2016-17"),IF(F13&lt;=10000000,0,MIN((L13-M13)*15%,MAX(0,(L13-M13)*0%+(F13-10000000)*(70%-30%*0%)))),IF(B13="2015-16",IF(F13&lt;=10000000,0,MIN((L13-M13)*12%,MAX(0,(L13-M13)*0%+(F13-10000000)*(70%-30%*0%)))),IF(OR(B13="2017-18",B13="2018-19"),IF(F13&lt;=5000000,0,IF(F13&lt;=10000000,MIN((L13-M13)*10%,MAX(0,(L13-M13)*0%+(F13-5000000)*(70%-30%*0%))),MIN((L13-M13)*15%,MAX(0,(L13-M13)*10%+(F13-10000000)*(70%-30%*10%))))),IF(F13&lt;=5000000,0,IF(F13&lt;=10000000,MIN((L13-M13)*10%,MAX(0,(L13-M13)*0%+(F13-5000000)*(70%-30%*0%))),IF(F13&lt;=20000000,MIN((L13-M13)*15%,MAX(0,(L13-M13)*10%+(F13-10000000)*(70%-30%*10%))),IF(F13&lt;=50000000,MIN((L13-M13)*25%,MAX(0,(L13-M13)*15%+(F13-20000000)*(70%-30%*15%))),MIN((L13-M13)*37%,MAX(0,(L13-M13)*25%+(F13-50000000)*(70%-30%*25%)))))))))),IF(OR(B13="2023-24",B13="2024-25",B13="2025-26"),IF(F13&lt;=5000000,0,IF(F13&lt;=10000000,MIN((L13-M13)*10%,MAX(0,(L13-M13)*0%+(F13-5000000)*(70%-30%*0%))),IF(F13&lt;=20000000,MIN((L13-M13)*15%,MAX(0,(L13-M13)*10%+(F13-10000000)*(70%-30%*10%))),MIN((L13-M13)*25%,MAX(0,(L13-M13)*15%+(F13-20000000)*(70%-30%*15%)))))),IF(F13&lt;=5000000,0,IF(F13&lt;=10000000,MIN((L13-M13)*10%,MAX(0,(L13-M13)*0%+(F13-5000000)*(70%-30%*0%))),IF(F13&lt;=20000000,MIN((L13-M13)*15%,MAX(0,(L13-M13)*10%+(F13-10000000)*(70%-30%*10%))),IF(F13&lt;=50000000,MIN((L13-M13)*25%,MAX(0,(L13-M13)*15%+(F13-20000000)*(70%-30%*15%))),MIN((L13-M13)*37%,MAX(0,(L13-M13)*25%+(F13-50000000)*(70%-30%*25%))))))))),2)</f>
        <v>0</v>
      </c>
      <c r="O13" s="4">
        <f t="shared" si="6"/>
        <v>0</v>
      </c>
      <c r="P13" s="4">
        <f t="shared" si="7"/>
        <v>0</v>
      </c>
      <c r="Q13" s="4">
        <f t="shared" si="8"/>
        <v>0</v>
      </c>
    </row>
    <row r="14" spans="1:17">
      <c r="A14" s="4">
        <f>14</f>
        <v>14</v>
      </c>
      <c r="B14" s="4" t="str">
        <f>Source_Data!A14</f>
        <v>2024-25</v>
      </c>
      <c r="C14" s="4" t="str">
        <f>Source_Data!E14</f>
        <v>NEW</v>
      </c>
      <c r="D14" s="4" t="str">
        <f>Source_Data!F14</f>
        <v>Resident-Senior Citizen</v>
      </c>
      <c r="E14" s="4">
        <f>Source_Data!B14</f>
        <v>0</v>
      </c>
      <c r="F14" s="4">
        <f>Source_Data!D14</f>
        <v>0</v>
      </c>
      <c r="G14" s="4">
        <f t="shared" si="9"/>
        <v>0</v>
      </c>
      <c r="H14" s="4">
        <f t="shared" si="0"/>
        <v>0</v>
      </c>
      <c r="I14" s="4">
        <f>ROUND(IF(C14="OLD",IF(OR(B14="2014-15",B14="2016-17"),IF(E14&lt;=10000000,0,MIN((G14-H14)*15%,MAX(0,(G14-H14)*0%+(E14-10000000)*(70%-30%*0%)))),IF(B14="2015-16",IF(E14&lt;=10000000,0,MIN((G14-H14)*12%,MAX(0,(G14-H14)*0%+(E14-10000000)*(70%-30%*0%)))),IF(OR(B14="2017-18",B14="2018-19"),IF(E14&lt;=5000000,0,IF(E14&lt;=10000000,MIN((G14-H14)*10%,MAX(0,(G14-H14)*0%+(E14-5000000)*(70%-30%*0%))),MIN((G14-H14)*15%,MAX(0,(G14-H14)*10%+(E14-10000000)*(70%-30%*10%))))),IF(E14&lt;=5000000,0,IF(E14&lt;=10000000,MIN((G14-H14)*10%,MAX(0,(G14-H14)*0%+(E14-5000000)*(70%-30%*0%))),IF(E14&lt;=20000000,MIN((G14-H14)*15%,MAX(0,(G14-H14)*10%+(E14-10000000)*(70%-30%*10%))),IF(E14&lt;=50000000,MIN((G14-H14)*25%,MAX(0,(G14-H14)*15%+(E14-20000000)*(70%-30%*15%))),MIN((G14-H14)*37%,MAX(0,(G14-H14)*25%+(E14-50000000)*(70%-30%*25%)))))))))),IF(OR(B14="2023-24",B14="2024-25",B14="2025-26"),IF(E14&lt;=5000000,0,IF(E14&lt;=10000000,MIN((G14-H14)*10%,MAX(0,(G14-H14)*0%+(E14-5000000)*(70%-30%*0%))),IF(E14&lt;=20000000,MIN((G14-H14)*15%,MAX(0,(G14-H14)*10%+(E14-10000000)*(70%-30%*10%))),MIN((G14-H14)*25%,MAX(0,(G14-H14)*15%+(E14-20000000)*(70%-30%*15%)))))),IF(E14&lt;=5000000,0,IF(E14&lt;=10000000,MIN((G14-H14)*10%,MAX(0,(G14-H14)*0%+(E14-5000000)*(70%-30%*0%))),IF(E14&lt;=20000000,MIN((G14-H14)*15%,MAX(0,(G14-H14)*10%+(E14-10000000)*(70%-30%*10%))),IF(E14&lt;=50000000,MIN((G14-H14)*25%,MAX(0,(G14-H14)*15%+(E14-20000000)*(70%-30%*15%))),MIN((G14-H14)*37%,MAX(0,(G14-H14)*25%+(E14-50000000)*(70%-30%*25%))))))))),2)</f>
        <v>0</v>
      </c>
      <c r="J14" s="4">
        <f t="shared" si="2"/>
        <v>0</v>
      </c>
      <c r="K14" s="4">
        <f t="shared" si="3"/>
        <v>0</v>
      </c>
      <c r="L14" s="4">
        <f t="shared" si="10"/>
        <v>0</v>
      </c>
      <c r="M14" s="4">
        <f t="shared" si="4"/>
        <v>0</v>
      </c>
      <c r="N14" s="4">
        <f>ROUND(IF(C14="OLD",IF(OR(B14="2014-15",B14="2016-17"),IF(F14&lt;=10000000,0,MIN((L14-M14)*15%,MAX(0,(L14-M14)*0%+(F14-10000000)*(70%-30%*0%)))),IF(B14="2015-16",IF(F14&lt;=10000000,0,MIN((L14-M14)*12%,MAX(0,(L14-M14)*0%+(F14-10000000)*(70%-30%*0%)))),IF(OR(B14="2017-18",B14="2018-19"),IF(F14&lt;=5000000,0,IF(F14&lt;=10000000,MIN((L14-M14)*10%,MAX(0,(L14-M14)*0%+(F14-5000000)*(70%-30%*0%))),MIN((L14-M14)*15%,MAX(0,(L14-M14)*10%+(F14-10000000)*(70%-30%*10%))))),IF(F14&lt;=5000000,0,IF(F14&lt;=10000000,MIN((L14-M14)*10%,MAX(0,(L14-M14)*0%+(F14-5000000)*(70%-30%*0%))),IF(F14&lt;=20000000,MIN((L14-M14)*15%,MAX(0,(L14-M14)*10%+(F14-10000000)*(70%-30%*10%))),IF(F14&lt;=50000000,MIN((L14-M14)*25%,MAX(0,(L14-M14)*15%+(F14-20000000)*(70%-30%*15%))),MIN((L14-M14)*37%,MAX(0,(L14-M14)*25%+(F14-50000000)*(70%-30%*25%)))))))))),IF(OR(B14="2023-24",B14="2024-25",B14="2025-26"),IF(F14&lt;=5000000,0,IF(F14&lt;=10000000,MIN((L14-M14)*10%,MAX(0,(L14-M14)*0%+(F14-5000000)*(70%-30%*0%))),IF(F14&lt;=20000000,MIN((L14-M14)*15%,MAX(0,(L14-M14)*10%+(F14-10000000)*(70%-30%*10%))),MIN((L14-M14)*25%,MAX(0,(L14-M14)*15%+(F14-20000000)*(70%-30%*15%)))))),IF(F14&lt;=5000000,0,IF(F14&lt;=10000000,MIN((L14-M14)*10%,MAX(0,(L14-M14)*0%+(F14-5000000)*(70%-30%*0%))),IF(F14&lt;=20000000,MIN((L14-M14)*15%,MAX(0,(L14-M14)*10%+(F14-10000000)*(70%-30%*10%))),IF(F14&lt;=50000000,MIN((L14-M14)*25%,MAX(0,(L14-M14)*15%+(F14-20000000)*(70%-30%*15%))),MIN((L14-M14)*37%,MAX(0,(L14-M14)*25%+(F14-50000000)*(70%-30%*25%))))))))),2)</f>
        <v>0</v>
      </c>
      <c r="O14" s="4">
        <f t="shared" si="6"/>
        <v>0</v>
      </c>
      <c r="P14" s="4">
        <f t="shared" si="7"/>
        <v>0</v>
      </c>
      <c r="Q14" s="4">
        <f t="shared" si="8"/>
        <v>0</v>
      </c>
    </row>
    <row r="15" spans="1:17">
      <c r="A15" s="4">
        <f>15</f>
        <v>15</v>
      </c>
      <c r="B15" s="4" t="str">
        <f>Source_Data!A15</f>
        <v>2025-26</v>
      </c>
      <c r="C15" s="4" t="str">
        <f>Source_Data!E15</f>
        <v>NEW</v>
      </c>
      <c r="D15" s="4" t="str">
        <f>Source_Data!F15</f>
        <v>Resident-Senior Citizen</v>
      </c>
      <c r="E15" s="4">
        <f>Source_Data!B15</f>
        <v>0</v>
      </c>
      <c r="F15" s="4">
        <f>Source_Data!D15</f>
        <v>0</v>
      </c>
      <c r="G15" s="4">
        <f t="shared" si="9"/>
        <v>0</v>
      </c>
      <c r="H15" s="4">
        <f t="shared" si="0"/>
        <v>0</v>
      </c>
      <c r="I15" s="4">
        <f>ROUND(IF(C15="OLD",IF(OR(B15="2014-15",B15="2016-17"),IF(E15&lt;=10000000,0,MIN((G15-H15)*15%,MAX(0,(G15-H15)*0%+(E15-10000000)*(70%-30%*0%)))),IF(B15="2015-16",IF(E15&lt;=10000000,0,MIN((G15-H15)*12%,MAX(0,(G15-H15)*0%+(E15-10000000)*(70%-30%*0%)))),IF(OR(B15="2017-18",B15="2018-19"),IF(E15&lt;=5000000,0,IF(E15&lt;=10000000,MIN((G15-H15)*10%,MAX(0,(G15-H15)*0%+(E15-5000000)*(70%-30%*0%))),MIN((G15-H15)*15%,MAX(0,(G15-H15)*10%+(E15-10000000)*(70%-30%*10%))))),IF(E15&lt;=5000000,0,IF(E15&lt;=10000000,MIN((G15-H15)*10%,MAX(0,(G15-H15)*0%+(E15-5000000)*(70%-30%*0%))),IF(E15&lt;=20000000,MIN((G15-H15)*15%,MAX(0,(G15-H15)*10%+(E15-10000000)*(70%-30%*10%))),IF(E15&lt;=50000000,MIN((G15-H15)*25%,MAX(0,(G15-H15)*15%+(E15-20000000)*(70%-30%*15%))),MIN((G15-H15)*37%,MAX(0,(G15-H15)*25%+(E15-50000000)*(70%-30%*25%)))))))))),IF(OR(B15="2023-24",B15="2024-25",B15="2025-26"),IF(E15&lt;=5000000,0,IF(E15&lt;=10000000,MIN((G15-H15)*10%,MAX(0,(G15-H15)*0%+(E15-5000000)*(70%-30%*0%))),IF(E15&lt;=20000000,MIN((G15-H15)*15%,MAX(0,(G15-H15)*10%+(E15-10000000)*(70%-30%*10%))),MIN((G15-H15)*25%,MAX(0,(G15-H15)*15%+(E15-20000000)*(70%-30%*15%)))))),IF(E15&lt;=5000000,0,IF(E15&lt;=10000000,MIN((G15-H15)*10%,MAX(0,(G15-H15)*0%+(E15-5000000)*(70%-30%*0%))),IF(E15&lt;=20000000,MIN((G15-H15)*15%,MAX(0,(G15-H15)*10%+(E15-10000000)*(70%-30%*10%))),IF(E15&lt;=50000000,MIN((G15-H15)*25%,MAX(0,(G15-H15)*15%+(E15-20000000)*(70%-30%*15%))),MIN((G15-H15)*37%,MAX(0,(G15-H15)*25%+(E15-50000000)*(70%-30%*25%))))))))),2)</f>
        <v>0</v>
      </c>
      <c r="J15" s="4">
        <f t="shared" si="2"/>
        <v>0</v>
      </c>
      <c r="K15" s="4">
        <f t="shared" si="3"/>
        <v>0</v>
      </c>
      <c r="L15" s="4">
        <f t="shared" si="10"/>
        <v>0</v>
      </c>
      <c r="M15" s="4">
        <f t="shared" si="4"/>
        <v>0</v>
      </c>
      <c r="N15" s="4">
        <f>ROUND(IF(C15="OLD",IF(OR(B15="2014-15",B15="2016-17"),IF(F15&lt;=10000000,0,MIN((L15-M15)*15%,MAX(0,(L15-M15)*0%+(F15-10000000)*(70%-30%*0%)))),IF(B15="2015-16",IF(F15&lt;=10000000,0,MIN((L15-M15)*12%,MAX(0,(L15-M15)*0%+(F15-10000000)*(70%-30%*0%)))),IF(OR(B15="2017-18",B15="2018-19"),IF(F15&lt;=5000000,0,IF(F15&lt;=10000000,MIN((L15-M15)*10%,MAX(0,(L15-M15)*0%+(F15-5000000)*(70%-30%*0%))),MIN((L15-M15)*15%,MAX(0,(L15-M15)*10%+(F15-10000000)*(70%-30%*10%))))),IF(F15&lt;=5000000,0,IF(F15&lt;=10000000,MIN((L15-M15)*10%,MAX(0,(L15-M15)*0%+(F15-5000000)*(70%-30%*0%))),IF(F15&lt;=20000000,MIN((L15-M15)*15%,MAX(0,(L15-M15)*10%+(F15-10000000)*(70%-30%*10%))),IF(F15&lt;=50000000,MIN((L15-M15)*25%,MAX(0,(L15-M15)*15%+(F15-20000000)*(70%-30%*15%))),MIN((L15-M15)*37%,MAX(0,(L15-M15)*25%+(F15-50000000)*(70%-30%*25%)))))))))),IF(OR(B15="2023-24",B15="2024-25",B15="2025-26"),IF(F15&lt;=5000000,0,IF(F15&lt;=10000000,MIN((L15-M15)*10%,MAX(0,(L15-M15)*0%+(F15-5000000)*(70%-30%*0%))),IF(F15&lt;=20000000,MIN((L15-M15)*15%,MAX(0,(L15-M15)*10%+(F15-10000000)*(70%-30%*10%))),MIN((L15-M15)*25%,MAX(0,(L15-M15)*15%+(F15-20000000)*(70%-30%*15%)))))),IF(F15&lt;=5000000,0,IF(F15&lt;=10000000,MIN((L15-M15)*10%,MAX(0,(L15-M15)*0%+(F15-5000000)*(70%-30%*0%))),IF(F15&lt;=20000000,MIN((L15-M15)*15%,MAX(0,(L15-M15)*10%+(F15-10000000)*(70%-30%*10%))),IF(F15&lt;=50000000,MIN((L15-M15)*25%,MAX(0,(L15-M15)*15%+(F15-20000000)*(70%-30%*15%))),MIN((L15-M15)*37%,MAX(0,(L15-M15)*25%+(F15-50000000)*(70%-30%*25%))))))))),2)</f>
        <v>0</v>
      </c>
      <c r="O15" s="4">
        <f t="shared" si="6"/>
        <v>0</v>
      </c>
      <c r="P15" s="4">
        <f t="shared" si="7"/>
        <v>0</v>
      </c>
      <c r="Q15" s="4">
        <f t="shared" si="8"/>
        <v>0</v>
      </c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4">
        <f>4</f>
        <v>4</v>
      </c>
      <c r="B18" s="4" t="str">
        <f>Source_Data!A4</f>
        <v>2014-15</v>
      </c>
      <c r="C18" s="4" t="str">
        <f t="shared" ref="C18:C29" si="11">"OLD"</f>
        <v>OLD</v>
      </c>
      <c r="D18" s="4" t="str">
        <f>Source_Data!F4</f>
        <v>Resident-Normal Citizen</v>
      </c>
      <c r="E18" s="4">
        <f>Source_Data!B4</f>
        <v>0</v>
      </c>
      <c r="F18" s="4">
        <f>Source_Data!D4</f>
        <v>0</v>
      </c>
      <c r="G18" s="4">
        <f t="shared" ref="G18:G29" si="12">ROUND(IF(C18="OLD",MAX(0,MIN(E18,500000)-IF(D18="Resident-Senior Citizen",300000,250000))*IF(B18="2016-17",10%,5%)+MAX(0,MIN(E18,1000000)-500000)*20%+MAX(0,E18-1000000)*30%,IF(OR(B18="2020-21",B18="2021-22",B18="2022-23"),MAX(0,MIN(E18,500000)-250000)*5%+MAX(0,MIN(E18,750000)-500000)*10%+MAX(0,MIN(E18,1000000)-750000)*15%+MAX(0,MIN(E18,1250000)-1000000)*20%+MAX(0,MIN(E18,1500000)-1250000)*25%+MAX(0,E18-1500000)*30%,IF(B18="2023-24",MAX(0,MIN(E18,600000)-300000)*5%+MAX(0,MIN(E18,900000)-600000)*10%+MAX(0,MIN(E18,1200000)-900000)*15%+MAX(0,MIN(E18,1500000)-1200000)*20%+MAX(0,E18-1500000)*30%,IF(B18="2024-25",MAX(0,MIN(E18,700000)-300000)*5%+MAX(0,MIN(E18,1000000)-700000)*10%+MAX(0,MIN(E18,1200000)-1000000)*15%+MAX(0,MIN(E18,1500000)-1200000)*20%+MAX(0,E18-1500000)*30%,IF(B18="2025-26",MAX(0,MIN(E18,800000)-400000)*5%+MAX(0,MIN(E18,1200000)-800000)*10%+MAX(0,MIN(E18,1600000)-1200000)*15%+MAX(0,MIN(E18,2000000)-1600000)*20%+MAX(0,MIN(E18,2400000)-2000000)*25%+MAX(0,E18-2400000)*30%,0))))),2)</f>
        <v>0</v>
      </c>
      <c r="H18" s="4">
        <f t="shared" ref="H18:H29" si="13">ROUND(MAX(IF(C18="OLD",IF(E18&lt;=IF(OR(B18="2014-15",B18="2015-16",B18="2016-17"),500000,IF(OR(B18="2017-18",B18="2018-19"),350000,500000)),MIN(G18,IF(OR(B18="2014-15",B18="2015-16"),2000,IF(B18="2016-17",5000,IF(OR(B18="2017-18",B18="2018-19"),2500,12500)))),0),IF(E18&lt;=IF(OR(B18="2023-24",B18="2024-25"),700000,IF(B18="2025-26",1200000,500000)),MIN(G18,IF(OR(B18="2023-24",B18="2024-25"),25000,IF(B18="2025-26",60000,12500))),0)),IF(AND(C18="NEW",B18="2025-26",E18&gt;1200000),MAX(0,G18-(E18-1200000)),0)),2)</f>
        <v>0</v>
      </c>
      <c r="I18" s="4">
        <f t="shared" ref="I18:I25" si="14">ROUND(IF(C18="OLD",IF(OR(B18="2014-15",B18="2016-17"),IF(E18&lt;=10000000,0,MIN((G18-H18)*15%,MAX(0,(G18-H18)*0%+(E18-10000000)*(70%-30%*0%)))),IF(B18="2015-16",IF(E18&lt;=10000000,0,MIN((G18-H18)*12%,MAX(0,(G18-H18)*0%+(E18-10000000)*(70%-30%*0%)))),IF(OR(B18="2017-18",B18="2018-19"),IF(E18&lt;=5000000,0,IF(E18&lt;=10000000,MIN((G18-H18)*10%,MAX(0,(G18-H18)*0%+(E18-5000000)*(70%-30%*0%))),MIN((G18-H18)*15%,MAX(0,(G18-H18)*10%+(E18-10000000)*(70%-30%*10%))))),IF(E18&lt;=5000000,0,IF(E18&lt;=10000000,MIN((G18-H18)*10%,MAX(0,(G18-H18)*0%+(E18-5000000)*(70%-30%*0%))),IF(E18&lt;=20000000,MIN((G18-H18)*15%,MAX(0,(G18-H18)*10%+(E18-10000000)*(70%-30%*10%))),IF(E18&lt;=50000000,MIN((G18-H18)*25%,MAX(0,(G18-H18)*15%+(E18-20000000)*(70%-30%*15%))),MIN((G18-H18)*37%,MAX(0,(G18-H18)*25%+(E18-50000000)*(70%-30%*25%)))))))))),IF(OR(B18="2023-24",B18="2024-25",B18="2025-26"),IF(E18&lt;=5000000,0,IF(E18&lt;=10000000,MIN((G18-H18)*10%,MAX(0,(G18-H18)*0%+(E18-5000000)*(70%-30%*0%))),IF(E18&lt;=20000000,MIN((G18-H18)*15%,MAX(0,(G18-H18)*10%+(E18-10000000)*(70%-30%*10%))),MIN((G18-H18)*25%,MAX(0,(G18-H18)*15%+(E18-20000000)*(70%-30%*15%)))))),IF(E18&lt;=5000000,0,IF(E18&lt;=10000000,MIN((G18-H18)*10%,MAX(0,(G18-H18)*0%+(E18-5000000)*(70%-30%*0%))),IF(E18&lt;=20000000,MIN((G18-H18)*15%,MAX(0,(G18-H18)*10%+(E18-10000000)*(70%-30%*10%))),IF(E18&lt;=50000000,MIN((G18-H18)*25%,MAX(0,(G18-H18)*15%+(E18-20000000)*(70%-30%*15%))),MIN((G18-H18)*37%,MAX(0,(G18-H18)*25%+(E18-50000000)*(70%-30%*25%))))))))),2)</f>
        <v>0</v>
      </c>
      <c r="J18" s="4">
        <f t="shared" ref="J18:J29" si="15">ROUND((G18-H18+I18)*IF(OR(B18="2014-15",B18="2015-16",B18="2016-17",B18="2017-18"),3%,4%),2)</f>
        <v>0</v>
      </c>
      <c r="K18" s="4">
        <f t="shared" ref="K18:K29" si="16">ROUND(G18-H18+I18+J18,2)</f>
        <v>0</v>
      </c>
      <c r="L18" s="4">
        <f t="shared" ref="L18:L29" si="17">ROUND(IF(C18="OLD",MAX(0,MIN(F18,500000)-IF(D18="Resident-Senior Citizen",300000,250000))*IF(B18="2016-17",10%,5%)+MAX(0,MIN(F18,1000000)-500000)*20%+MAX(0,F18-1000000)*30%,IF(OR(B18="2020-21",B18="2021-22",B18="2022-23"),MAX(0,MIN(F18,500000)-250000)*5%+MAX(0,MIN(F18,750000)-500000)*10%+MAX(0,MIN(F18,1000000)-750000)*15%+MAX(0,MIN(F18,1250000)-1000000)*20%+MAX(0,MIN(F18,1500000)-1250000)*25%+MAX(0,F18-1500000)*30%,IF(B18="2023-24",MAX(0,MIN(F18,600000)-300000)*5%+MAX(0,MIN(F18,900000)-600000)*10%+MAX(0,MIN(F18,1200000)-900000)*15%+MAX(0,MIN(F18,1500000)-1200000)*20%+MAX(0,F18-1500000)*30%,IF(B18="2024-25",MAX(0,MIN(F18,700000)-300000)*5%+MAX(0,MIN(F18,1000000)-700000)*10%+MAX(0,MIN(F18,1200000)-1000000)*15%+MAX(0,MIN(F18,1500000)-1200000)*20%+MAX(0,F18-1500000)*30%,IF(B18="2025-26",MAX(0,MIN(F18,800000)-400000)*5%+MAX(0,MIN(F18,1200000)-800000)*10%+MAX(0,MIN(F18,1600000)-1200000)*15%+MAX(0,MIN(F18,2000000)-1600000)*20%+MAX(0,MIN(F18,2400000)-2000000)*25%+MAX(0,F18-2400000)*30%,0))))),2)</f>
        <v>0</v>
      </c>
      <c r="M18" s="4">
        <f t="shared" ref="M18:M29" si="18">ROUND(MAX(IF(C18="OLD",IF(F18&lt;=IF(OR(B18="2014-15",B18="2015-16",B18="2016-17"),500000,IF(OR(B18="2017-18",B18="2018-19"),350000,500000)),MIN(L18,IF(OR(B18="2014-15",B18="2015-16"),2000,IF(B18="2016-17",5000,IF(OR(B18="2017-18",B18="2018-19"),2500,12500)))),0),IF(F18&lt;=IF(OR(B18="2023-24",B18="2024-25"),700000,IF(B18="2025-26",1200000,500000)),MIN(L18,IF(OR(B18="2023-24",B18="2024-25"),25000,IF(B18="2025-26",60000,12500))),0)),IF(AND(C18="NEW",B18="2025-26",F18&gt;1200000),MAX(0,L18-(F18-1200000)),0)),2)</f>
        <v>0</v>
      </c>
      <c r="N18" s="4">
        <f t="shared" ref="N18:N25" si="19">ROUND(IF(C18="OLD",IF(OR(B18="2014-15",B18="2016-17"),IF(F18&lt;=10000000,0,MIN((L18-M18)*15%,MAX(0,(L18-M18)*0%+(F18-10000000)*(70%-30%*0%)))),IF(B18="2015-16",IF(F18&lt;=10000000,0,MIN((L18-M18)*12%,MAX(0,(L18-M18)*0%+(F18-10000000)*(70%-30%*0%)))),IF(OR(B18="2017-18",B18="2018-19"),IF(F18&lt;=5000000,0,IF(F18&lt;=10000000,MIN((L18-M18)*10%,MAX(0,(L18-M18)*0%+(F18-5000000)*(70%-30%*0%))),MIN((L18-M18)*15%,MAX(0,(L18-M18)*10%+(F18-10000000)*(70%-30%*10%))))),IF(F18&lt;=5000000,0,IF(F18&lt;=10000000,MIN((L18-M18)*10%,MAX(0,(L18-M18)*0%+(F18-5000000)*(70%-30%*0%))),IF(F18&lt;=20000000,MIN((L18-M18)*15%,MAX(0,(L18-M18)*10%+(F18-10000000)*(70%-30%*10%))),IF(F18&lt;=50000000,MIN((L18-M18)*25%,MAX(0,(L18-M18)*15%+(F18-20000000)*(70%-30%*15%))),MIN((L18-M18)*37%,MAX(0,(L18-M18)*25%+(F18-50000000)*(70%-30%*25%)))))))))),IF(OR(B18="2023-24",B18="2024-25",B18="2025-26"),IF(F18&lt;=5000000,0,IF(F18&lt;=10000000,MIN((L18-M18)*10%,MAX(0,(L18-M18)*0%+(F18-5000000)*(70%-30%*0%))),IF(F18&lt;=20000000,MIN((L18-M18)*15%,MAX(0,(L18-M18)*10%+(F18-10000000)*(70%-30%*10%))),MIN((L18-M18)*25%,MAX(0,(L18-M18)*15%+(F18-20000000)*(70%-30%*15%)))))),IF(F18&lt;=5000000,0,IF(F18&lt;=10000000,MIN((L18-M18)*10%,MAX(0,(L18-M18)*0%+(F18-5000000)*(70%-30%*0%))),IF(F18&lt;=20000000,MIN((L18-M18)*15%,MAX(0,(L18-M18)*10%+(F18-10000000)*(70%-30%*10%))),IF(F18&lt;=50000000,MIN((L18-M18)*25%,MAX(0,(L18-M18)*15%+(F18-20000000)*(70%-30%*15%))),MIN((L18-M18)*37%,MAX(0,(L18-M18)*25%+(F18-50000000)*(70%-30%*25%))))))))),2)</f>
        <v>0</v>
      </c>
      <c r="O18" s="4">
        <f t="shared" ref="O18:O29" si="20">ROUND((L18-M18+N18)*IF(OR(B18="2014-15",B18="2015-16",B18="2016-17",B18="2017-18"),3%,4%),2)</f>
        <v>0</v>
      </c>
      <c r="P18" s="4">
        <f t="shared" ref="P18:P29" si="21">ROUND(L18-M18+N18+O18,2)</f>
        <v>0</v>
      </c>
      <c r="Q18" s="4">
        <f t="shared" ref="Q18:Q29" si="22">ROUND(P18-K18,2)</f>
        <v>0</v>
      </c>
    </row>
    <row r="19" spans="1:17">
      <c r="A19" s="4">
        <f>5</f>
        <v>5</v>
      </c>
      <c r="B19" s="4" t="str">
        <f>Source_Data!A5</f>
        <v>2015-16</v>
      </c>
      <c r="C19" s="4" t="str">
        <f t="shared" si="11"/>
        <v>OLD</v>
      </c>
      <c r="D19" s="4" t="str">
        <f>Source_Data!F5</f>
        <v>Resident-Normal Citizen</v>
      </c>
      <c r="E19" s="4">
        <f>Source_Data!B5</f>
        <v>0</v>
      </c>
      <c r="F19" s="4">
        <f>Source_Data!D5</f>
        <v>0</v>
      </c>
      <c r="G19" s="4">
        <f t="shared" si="12"/>
        <v>0</v>
      </c>
      <c r="H19" s="4">
        <f t="shared" si="13"/>
        <v>0</v>
      </c>
      <c r="I19" s="4">
        <f t="shared" si="14"/>
        <v>0</v>
      </c>
      <c r="J19" s="4">
        <f t="shared" si="15"/>
        <v>0</v>
      </c>
      <c r="K19" s="4">
        <f t="shared" si="16"/>
        <v>0</v>
      </c>
      <c r="L19" s="4">
        <f t="shared" si="17"/>
        <v>0</v>
      </c>
      <c r="M19" s="4">
        <f t="shared" si="18"/>
        <v>0</v>
      </c>
      <c r="N19" s="4">
        <f t="shared" si="19"/>
        <v>0</v>
      </c>
      <c r="O19" s="4">
        <f t="shared" si="20"/>
        <v>0</v>
      </c>
      <c r="P19" s="4">
        <f t="shared" si="21"/>
        <v>0</v>
      </c>
      <c r="Q19" s="4">
        <f t="shared" si="22"/>
        <v>0</v>
      </c>
    </row>
    <row r="20" spans="1:17">
      <c r="A20" s="4">
        <f>6</f>
        <v>6</v>
      </c>
      <c r="B20" s="4" t="str">
        <f>Source_Data!A6</f>
        <v>2016-17</v>
      </c>
      <c r="C20" s="4" t="str">
        <f t="shared" si="11"/>
        <v>OLD</v>
      </c>
      <c r="D20" s="4" t="str">
        <f>Source_Data!F6</f>
        <v>Resident-Senior Citizen</v>
      </c>
      <c r="E20" s="4">
        <f>Source_Data!B6</f>
        <v>0</v>
      </c>
      <c r="F20" s="4">
        <f>Source_Data!D6</f>
        <v>0</v>
      </c>
      <c r="G20" s="4">
        <f t="shared" si="12"/>
        <v>0</v>
      </c>
      <c r="H20" s="4">
        <f t="shared" si="13"/>
        <v>0</v>
      </c>
      <c r="I20" s="4">
        <f t="shared" si="14"/>
        <v>0</v>
      </c>
      <c r="J20" s="4">
        <f t="shared" si="15"/>
        <v>0</v>
      </c>
      <c r="K20" s="4">
        <f t="shared" si="16"/>
        <v>0</v>
      </c>
      <c r="L20" s="4">
        <f t="shared" si="17"/>
        <v>0</v>
      </c>
      <c r="M20" s="4">
        <f t="shared" si="18"/>
        <v>0</v>
      </c>
      <c r="N20" s="4">
        <f t="shared" si="19"/>
        <v>0</v>
      </c>
      <c r="O20" s="4">
        <f t="shared" si="20"/>
        <v>0</v>
      </c>
      <c r="P20" s="4">
        <f t="shared" si="21"/>
        <v>0</v>
      </c>
      <c r="Q20" s="4">
        <f t="shared" si="22"/>
        <v>0</v>
      </c>
    </row>
    <row r="21" spans="1:17">
      <c r="A21" s="4">
        <f>7</f>
        <v>7</v>
      </c>
      <c r="B21" s="4" t="str">
        <f>Source_Data!A7</f>
        <v>2017-18</v>
      </c>
      <c r="C21" s="4" t="str">
        <f t="shared" si="11"/>
        <v>OLD</v>
      </c>
      <c r="D21" s="4" t="str">
        <f>Source_Data!F7</f>
        <v>Resident-Senior Citizen</v>
      </c>
      <c r="E21" s="4">
        <f>Source_Data!B7</f>
        <v>0</v>
      </c>
      <c r="F21" s="4">
        <f>Source_Data!D7</f>
        <v>0</v>
      </c>
      <c r="G21" s="4">
        <f t="shared" si="12"/>
        <v>0</v>
      </c>
      <c r="H21" s="4">
        <f t="shared" si="13"/>
        <v>0</v>
      </c>
      <c r="I21" s="4">
        <f t="shared" si="14"/>
        <v>0</v>
      </c>
      <c r="J21" s="4">
        <f t="shared" si="15"/>
        <v>0</v>
      </c>
      <c r="K21" s="4">
        <f t="shared" si="16"/>
        <v>0</v>
      </c>
      <c r="L21" s="4">
        <f t="shared" si="17"/>
        <v>0</v>
      </c>
      <c r="M21" s="4">
        <f t="shared" si="18"/>
        <v>0</v>
      </c>
      <c r="N21" s="4">
        <f t="shared" si="19"/>
        <v>0</v>
      </c>
      <c r="O21" s="4">
        <f t="shared" si="20"/>
        <v>0</v>
      </c>
      <c r="P21" s="4">
        <f t="shared" si="21"/>
        <v>0</v>
      </c>
      <c r="Q21" s="4">
        <f t="shared" si="22"/>
        <v>0</v>
      </c>
    </row>
    <row r="22" spans="1:17">
      <c r="A22" s="4">
        <f>8</f>
        <v>8</v>
      </c>
      <c r="B22" s="4" t="str">
        <f>Source_Data!A8</f>
        <v>2018-19</v>
      </c>
      <c r="C22" s="4" t="str">
        <f t="shared" si="11"/>
        <v>OLD</v>
      </c>
      <c r="D22" s="4" t="str">
        <f>Source_Data!F8</f>
        <v>Resident-Normal Citizen</v>
      </c>
      <c r="E22" s="4">
        <f>Source_Data!B8</f>
        <v>0</v>
      </c>
      <c r="F22" s="4">
        <f>Source_Data!D8</f>
        <v>0</v>
      </c>
      <c r="G22" s="4">
        <f t="shared" si="12"/>
        <v>0</v>
      </c>
      <c r="H22" s="4">
        <f t="shared" si="13"/>
        <v>0</v>
      </c>
      <c r="I22" s="4">
        <f t="shared" si="14"/>
        <v>0</v>
      </c>
      <c r="J22" s="4">
        <f t="shared" si="15"/>
        <v>0</v>
      </c>
      <c r="K22" s="4">
        <f t="shared" si="16"/>
        <v>0</v>
      </c>
      <c r="L22" s="4">
        <f t="shared" si="17"/>
        <v>0</v>
      </c>
      <c r="M22" s="4">
        <f t="shared" si="18"/>
        <v>0</v>
      </c>
      <c r="N22" s="4">
        <f t="shared" si="19"/>
        <v>0</v>
      </c>
      <c r="O22" s="4">
        <f t="shared" si="20"/>
        <v>0</v>
      </c>
      <c r="P22" s="4">
        <f t="shared" si="21"/>
        <v>0</v>
      </c>
      <c r="Q22" s="4">
        <f t="shared" si="22"/>
        <v>0</v>
      </c>
    </row>
    <row r="23" spans="1:17">
      <c r="A23" s="4">
        <f>9</f>
        <v>9</v>
      </c>
      <c r="B23" s="4" t="str">
        <f>Source_Data!A9</f>
        <v>2019-20</v>
      </c>
      <c r="C23" s="4" t="str">
        <f t="shared" si="11"/>
        <v>OLD</v>
      </c>
      <c r="D23" s="4" t="str">
        <f>Source_Data!F9</f>
        <v>Resident-Normal Citizen</v>
      </c>
      <c r="E23" s="4">
        <f>Source_Data!B9</f>
        <v>0</v>
      </c>
      <c r="F23" s="4">
        <f>Source_Data!D9</f>
        <v>0</v>
      </c>
      <c r="G23" s="4">
        <f t="shared" si="12"/>
        <v>0</v>
      </c>
      <c r="H23" s="4">
        <f t="shared" si="13"/>
        <v>0</v>
      </c>
      <c r="I23" s="4">
        <f t="shared" si="14"/>
        <v>0</v>
      </c>
      <c r="J23" s="4">
        <f t="shared" si="15"/>
        <v>0</v>
      </c>
      <c r="K23" s="4">
        <f t="shared" si="16"/>
        <v>0</v>
      </c>
      <c r="L23" s="4">
        <f t="shared" si="17"/>
        <v>0</v>
      </c>
      <c r="M23" s="4">
        <f t="shared" si="18"/>
        <v>0</v>
      </c>
      <c r="N23" s="4">
        <f t="shared" si="19"/>
        <v>0</v>
      </c>
      <c r="O23" s="4">
        <f t="shared" si="20"/>
        <v>0</v>
      </c>
      <c r="P23" s="4">
        <f t="shared" si="21"/>
        <v>0</v>
      </c>
      <c r="Q23" s="4">
        <f t="shared" si="22"/>
        <v>0</v>
      </c>
    </row>
    <row r="24" spans="1:17">
      <c r="A24" s="4">
        <f>10</f>
        <v>10</v>
      </c>
      <c r="B24" s="4" t="str">
        <f>Source_Data!A10</f>
        <v>2020-21</v>
      </c>
      <c r="C24" s="4" t="str">
        <f t="shared" si="11"/>
        <v>OLD</v>
      </c>
      <c r="D24" s="4" t="str">
        <f>Source_Data!F10</f>
        <v>Resident-Senior Citizen</v>
      </c>
      <c r="E24" s="4">
        <f>Source_Data!B10</f>
        <v>0</v>
      </c>
      <c r="F24" s="4">
        <f>Source_Data!D10</f>
        <v>0</v>
      </c>
      <c r="G24" s="4">
        <f t="shared" si="12"/>
        <v>0</v>
      </c>
      <c r="H24" s="4">
        <f t="shared" si="13"/>
        <v>0</v>
      </c>
      <c r="I24" s="4">
        <f t="shared" si="14"/>
        <v>0</v>
      </c>
      <c r="J24" s="4">
        <f t="shared" si="15"/>
        <v>0</v>
      </c>
      <c r="K24" s="4">
        <f t="shared" si="16"/>
        <v>0</v>
      </c>
      <c r="L24" s="4">
        <f t="shared" si="17"/>
        <v>0</v>
      </c>
      <c r="M24" s="4">
        <f t="shared" si="18"/>
        <v>0</v>
      </c>
      <c r="N24" s="4">
        <f t="shared" si="19"/>
        <v>0</v>
      </c>
      <c r="O24" s="4">
        <f t="shared" si="20"/>
        <v>0</v>
      </c>
      <c r="P24" s="4">
        <f t="shared" si="21"/>
        <v>0</v>
      </c>
      <c r="Q24" s="4">
        <f t="shared" si="22"/>
        <v>0</v>
      </c>
    </row>
    <row r="25" spans="1:17">
      <c r="A25" s="4">
        <f>11</f>
        <v>11</v>
      </c>
      <c r="B25" s="4" t="str">
        <f>Source_Data!A11</f>
        <v>2021-22</v>
      </c>
      <c r="C25" s="4" t="str">
        <f t="shared" si="11"/>
        <v>OLD</v>
      </c>
      <c r="D25" s="4" t="str">
        <f>Source_Data!F11</f>
        <v>Resident-Senior Citizen</v>
      </c>
      <c r="E25" s="4">
        <f>Source_Data!B11</f>
        <v>0</v>
      </c>
      <c r="F25" s="4">
        <f>Source_Data!D11</f>
        <v>0</v>
      </c>
      <c r="G25" s="4">
        <f t="shared" si="12"/>
        <v>0</v>
      </c>
      <c r="H25" s="4">
        <f t="shared" si="13"/>
        <v>0</v>
      </c>
      <c r="I25" s="4">
        <f t="shared" si="14"/>
        <v>0</v>
      </c>
      <c r="J25" s="4">
        <f t="shared" si="15"/>
        <v>0</v>
      </c>
      <c r="K25" s="4">
        <f t="shared" si="16"/>
        <v>0</v>
      </c>
      <c r="L25" s="4">
        <f t="shared" si="17"/>
        <v>0</v>
      </c>
      <c r="M25" s="4">
        <f t="shared" si="18"/>
        <v>0</v>
      </c>
      <c r="N25" s="4">
        <f t="shared" si="19"/>
        <v>0</v>
      </c>
      <c r="O25" s="4">
        <f t="shared" si="20"/>
        <v>0</v>
      </c>
      <c r="P25" s="4">
        <f t="shared" si="21"/>
        <v>0</v>
      </c>
      <c r="Q25" s="4">
        <f t="shared" si="22"/>
        <v>0</v>
      </c>
    </row>
    <row r="26" spans="1:17">
      <c r="A26" s="4">
        <f>12</f>
        <v>12</v>
      </c>
      <c r="B26" s="4" t="str">
        <f>Source_Data!A12</f>
        <v>2022-23</v>
      </c>
      <c r="C26" s="4" t="str">
        <f t="shared" si="11"/>
        <v>OLD</v>
      </c>
      <c r="D26" s="4" t="str">
        <f>Source_Data!F12</f>
        <v>Resident-Senior Citizen</v>
      </c>
      <c r="E26" s="4">
        <f>Source_Data!B12</f>
        <v>0</v>
      </c>
      <c r="F26" s="4">
        <f>Source_Data!D12</f>
        <v>0</v>
      </c>
      <c r="G26" s="4">
        <f t="shared" si="12"/>
        <v>0</v>
      </c>
      <c r="H26" s="4">
        <f t="shared" si="13"/>
        <v>0</v>
      </c>
      <c r="I26" s="4">
        <f>ROUND(IF(C26="OLD",IF(OR(B26="2014-15",B26="2016-17"),IF(E26&lt;=10000000,0,MIN((G26-H26)*15%,MAX(0,(G26-H26)*0%+(E26-10000000)*(70%-30%*0%)))),IF(B26="2015-16",IF(E26&lt;=10000000,0,MIN((G26-H26)*12%,MAX(0,(G26-H26)*0%+(E26-10000000)*(70%-30%*0%)))),IF(OR(B26="2017-18",B26="2018-19"),IF(E26&lt;=5000000,0,IF(E26&lt;=10000000,MIN((G26-H26)*10%,MAX(0,(G26-H26)*0%+(E26-5000000)*(70%-30%*0%))),MIN((G26-H26)*15%,MAX(0,(G26-H26)*10%+(E26-10000000)*(70%-30%*10%))))),IF(E26&lt;=5000000,0,IF(E26&lt;=10000000,MIN((G26-H26)*10%,MAX(0,(G26-H26)*0%+(E26-5000000)*(70%-30%*0%))),IF(E26&lt;=20000000,MIN((G26-H26)*15%,MAX(0,(G26-H26)*10%+(E26-10000000)*(70%-30%*10%))),IF(E26&lt;=50000000,MIN((G26-H26)*25%,MAX(0,(G26-H26)*15%+(E26-20000000)*(70%-30%*15%))),MIN((G26-H26)*37%,MAX(0,(G26-H26)*25%+(E26-50000000)*(70%-30%*25%)))))))))),IF(OR(B26="2023-24",B26="2024-25",B26="2025-26"),IF(E26&lt;=5000000,0,IF(E26&lt;=10000000,MIN((G26-H26)*10%,MAX(0,(G26-H26)*0%+(E26-5000000)*(70%-30%*0%))),IF(E26&lt;=20000000,MIN((G26-H26)*15%,MAX(0,(G26-H26)*10%+(E26-10000000)*(70%-30%*10%))),MIN((G26-H26)*25%,MAX(0,(G26-H26)*15%+(E26-20000000)*(70%-30%*15%)))))),IF(E26&lt;=5000000,0,IF(E26&lt;=10000000,MIN((G26-H26)*10%,MAX(0,(G26-H26)*0%+(E26-5000000)*(70%-30%*0%))),IF(E26&lt;=20000000,MIN((G26-H26)*15%,MAX(0,(G26-H26)*10%+(E26-10000000)*(70%-30%*10%))),IF(E26&lt;=50000000,MIN((G26-H26)*25%,MAX(0,(G26-H26)*15%+(E26-20000000)*(70%-30%*15%))),MIN((G26-H26)*37%,MAX(0,(G26-H26)*25%+(E26-50000000)*(70%-30%*25%))))))))),2)</f>
        <v>0</v>
      </c>
      <c r="J26" s="4">
        <f t="shared" si="15"/>
        <v>0</v>
      </c>
      <c r="K26" s="4">
        <f t="shared" si="16"/>
        <v>0</v>
      </c>
      <c r="L26" s="4">
        <f t="shared" si="17"/>
        <v>0</v>
      </c>
      <c r="M26" s="4">
        <f t="shared" si="18"/>
        <v>0</v>
      </c>
      <c r="N26" s="4">
        <f>ROUND(IF(C26="OLD",IF(OR(B26="2014-15",B26="2016-17"),IF(F26&lt;=10000000,0,MIN((L26-M26)*15%,MAX(0,(L26-M26)*0%+(F26-10000000)*(70%-30%*0%)))),IF(B26="2015-16",IF(F26&lt;=10000000,0,MIN((L26-M26)*12%,MAX(0,(L26-M26)*0%+(F26-10000000)*(70%-30%*0%)))),IF(OR(B26="2017-18",B26="2018-19"),IF(F26&lt;=5000000,0,IF(F26&lt;=10000000,MIN((L26-M26)*10%,MAX(0,(L26-M26)*0%+(F26-5000000)*(70%-30%*0%))),MIN((L26-M26)*15%,MAX(0,(L26-M26)*10%+(F26-10000000)*(70%-30%*10%))))),IF(F26&lt;=5000000,0,IF(F26&lt;=10000000,MIN((L26-M26)*10%,MAX(0,(L26-M26)*0%+(F26-5000000)*(70%-30%*0%))),IF(F26&lt;=20000000,MIN((L26-M26)*15%,MAX(0,(L26-M26)*10%+(F26-10000000)*(70%-30%*10%))),IF(F26&lt;=50000000,MIN((L26-M26)*25%,MAX(0,(L26-M26)*15%+(F26-20000000)*(70%-30%*15%))),MIN((L26-M26)*37%,MAX(0,(L26-M26)*25%+(F26-50000000)*(70%-30%*25%)))))))))),IF(OR(B26="2023-24",B26="2024-25",B26="2025-26"),IF(F26&lt;=5000000,0,IF(F26&lt;=10000000,MIN((L26-M26)*10%,MAX(0,(L26-M26)*0%+(F26-5000000)*(70%-30%*0%))),IF(F26&lt;=20000000,MIN((L26-M26)*15%,MAX(0,(L26-M26)*10%+(F26-10000000)*(70%-30%*10%))),MIN((L26-M26)*25%,MAX(0,(L26-M26)*15%+(F26-20000000)*(70%-30%*15%)))))),IF(F26&lt;=5000000,0,IF(F26&lt;=10000000,MIN((L26-M26)*10%,MAX(0,(L26-M26)*0%+(F26-5000000)*(70%-30%*0%))),IF(F26&lt;=20000000,MIN((L26-M26)*15%,MAX(0,(L26-M26)*10%+(F26-10000000)*(70%-30%*10%))),IF(F26&lt;=50000000,MIN((L26-M26)*25%,MAX(0,(L26-M26)*15%+(F26-20000000)*(70%-30%*15%))),MIN((L26-M26)*37%,MAX(0,(L26-M26)*25%+(F26-50000000)*(70%-30%*25%))))))))),2)</f>
        <v>0</v>
      </c>
      <c r="O26" s="4">
        <f t="shared" si="20"/>
        <v>0</v>
      </c>
      <c r="P26" s="4">
        <f t="shared" si="21"/>
        <v>0</v>
      </c>
      <c r="Q26" s="4">
        <f t="shared" si="22"/>
        <v>0</v>
      </c>
    </row>
    <row r="27" spans="1:17">
      <c r="A27" s="4">
        <f>13</f>
        <v>13</v>
      </c>
      <c r="B27" s="4" t="str">
        <f>Source_Data!A13</f>
        <v>2023-24</v>
      </c>
      <c r="C27" s="4" t="str">
        <f t="shared" si="11"/>
        <v>OLD</v>
      </c>
      <c r="D27" s="4" t="str">
        <f>Source_Data!F13</f>
        <v>Resident-Senior Citizen</v>
      </c>
      <c r="E27" s="4">
        <f>Source_Data!B13</f>
        <v>0</v>
      </c>
      <c r="F27" s="4">
        <f>Source_Data!D13</f>
        <v>0</v>
      </c>
      <c r="G27" s="4">
        <f t="shared" si="12"/>
        <v>0</v>
      </c>
      <c r="H27" s="4">
        <f t="shared" si="13"/>
        <v>0</v>
      </c>
      <c r="I27" s="4">
        <f>ROUND(IF(C27="OLD",IF(OR(B27="2014-15",B27="2016-17"),IF(E27&lt;=10000000,0,MIN((G27-H27)*15%,MAX(0,(G27-H27)*0%+(E27-10000000)*(70%-30%*0%)))),IF(B27="2015-16",IF(E27&lt;=10000000,0,MIN((G27-H27)*12%,MAX(0,(G27-H27)*0%+(E27-10000000)*(70%-30%*0%)))),IF(OR(B27="2017-18",B27="2018-19"),IF(E27&lt;=5000000,0,IF(E27&lt;=10000000,MIN((G27-H27)*10%,MAX(0,(G27-H27)*0%+(E27-5000000)*(70%-30%*0%))),MIN((G27-H27)*15%,MAX(0,(G27-H27)*10%+(E27-10000000)*(70%-30%*10%))))),IF(E27&lt;=5000000,0,IF(E27&lt;=10000000,MIN((G27-H27)*10%,MAX(0,(G27-H27)*0%+(E27-5000000)*(70%-30%*0%))),IF(E27&lt;=20000000,MIN((G27-H27)*15%,MAX(0,(G27-H27)*10%+(E27-10000000)*(70%-30%*10%))),IF(E27&lt;=50000000,MIN((G27-H27)*25%,MAX(0,(G27-H27)*15%+(E27-20000000)*(70%-30%*15%))),MIN((G27-H27)*37%,MAX(0,(G27-H27)*25%+(E27-50000000)*(70%-30%*25%)))))))))),IF(OR(B27="2023-24",B27="2024-25",B27="2025-26"),IF(E27&lt;=5000000,0,IF(E27&lt;=10000000,MIN((G27-H27)*10%,MAX(0,(G27-H27)*0%+(E27-5000000)*(70%-30%*0%))),IF(E27&lt;=20000000,MIN((G27-H27)*15%,MAX(0,(G27-H27)*10%+(E27-10000000)*(70%-30%*10%))),MIN((G27-H27)*25%,MAX(0,(G27-H27)*15%+(E27-20000000)*(70%-30%*15%)))))),IF(E27&lt;=5000000,0,IF(E27&lt;=10000000,MIN((G27-H27)*10%,MAX(0,(G27-H27)*0%+(E27-5000000)*(70%-30%*0%))),IF(E27&lt;=20000000,MIN((G27-H27)*15%,MAX(0,(G27-H27)*10%+(E27-10000000)*(70%-30%*10%))),IF(E27&lt;=50000000,MIN((G27-H27)*25%,MAX(0,(G27-H27)*15%+(E27-20000000)*(70%-30%*15%))),MIN((G27-H27)*37%,MAX(0,(G27-H27)*25%+(E27-50000000)*(70%-30%*25%))))))))),2)</f>
        <v>0</v>
      </c>
      <c r="J27" s="4">
        <f t="shared" si="15"/>
        <v>0</v>
      </c>
      <c r="K27" s="4">
        <f t="shared" si="16"/>
        <v>0</v>
      </c>
      <c r="L27" s="4">
        <f t="shared" si="17"/>
        <v>0</v>
      </c>
      <c r="M27" s="4">
        <f t="shared" si="18"/>
        <v>0</v>
      </c>
      <c r="N27" s="4">
        <f>ROUND(IF(C27="OLD",IF(OR(B27="2014-15",B27="2016-17"),IF(F27&lt;=10000000,0,MIN((L27-M27)*15%,MAX(0,(L27-M27)*0%+(F27-10000000)*(70%-30%*0%)))),IF(B27="2015-16",IF(F27&lt;=10000000,0,MIN((L27-M27)*12%,MAX(0,(L27-M27)*0%+(F27-10000000)*(70%-30%*0%)))),IF(OR(B27="2017-18",B27="2018-19"),IF(F27&lt;=5000000,0,IF(F27&lt;=10000000,MIN((L27-M27)*10%,MAX(0,(L27-M27)*0%+(F27-5000000)*(70%-30%*0%))),MIN((L27-M27)*15%,MAX(0,(L27-M27)*10%+(F27-10000000)*(70%-30%*10%))))),IF(F27&lt;=5000000,0,IF(F27&lt;=10000000,MIN((L27-M27)*10%,MAX(0,(L27-M27)*0%+(F27-5000000)*(70%-30%*0%))),IF(F27&lt;=20000000,MIN((L27-M27)*15%,MAX(0,(L27-M27)*10%+(F27-10000000)*(70%-30%*10%))),IF(F27&lt;=50000000,MIN((L27-M27)*25%,MAX(0,(L27-M27)*15%+(F27-20000000)*(70%-30%*15%))),MIN((L27-M27)*37%,MAX(0,(L27-M27)*25%+(F27-50000000)*(70%-30%*25%)))))))))),IF(OR(B27="2023-24",B27="2024-25",B27="2025-26"),IF(F27&lt;=5000000,0,IF(F27&lt;=10000000,MIN((L27-M27)*10%,MAX(0,(L27-M27)*0%+(F27-5000000)*(70%-30%*0%))),IF(F27&lt;=20000000,MIN((L27-M27)*15%,MAX(0,(L27-M27)*10%+(F27-10000000)*(70%-30%*10%))),MIN((L27-M27)*25%,MAX(0,(L27-M27)*15%+(F27-20000000)*(70%-30%*15%)))))),IF(F27&lt;=5000000,0,IF(F27&lt;=10000000,MIN((L27-M27)*10%,MAX(0,(L27-M27)*0%+(F27-5000000)*(70%-30%*0%))),IF(F27&lt;=20000000,MIN((L27-M27)*15%,MAX(0,(L27-M27)*10%+(F27-10000000)*(70%-30%*10%))),IF(F27&lt;=50000000,MIN((L27-M27)*25%,MAX(0,(L27-M27)*15%+(F27-20000000)*(70%-30%*15%))),MIN((L27-M27)*37%,MAX(0,(L27-M27)*25%+(F27-50000000)*(70%-30%*25%))))))))),2)</f>
        <v>0</v>
      </c>
      <c r="O27" s="4">
        <f t="shared" si="20"/>
        <v>0</v>
      </c>
      <c r="P27" s="4">
        <f t="shared" si="21"/>
        <v>0</v>
      </c>
      <c r="Q27" s="4">
        <f t="shared" si="22"/>
        <v>0</v>
      </c>
    </row>
    <row r="28" spans="1:17">
      <c r="A28" s="4">
        <f>14</f>
        <v>14</v>
      </c>
      <c r="B28" s="4" t="str">
        <f>Source_Data!A14</f>
        <v>2024-25</v>
      </c>
      <c r="C28" s="4" t="str">
        <f t="shared" si="11"/>
        <v>OLD</v>
      </c>
      <c r="D28" s="4" t="str">
        <f>Source_Data!F14</f>
        <v>Resident-Senior Citizen</v>
      </c>
      <c r="E28" s="4">
        <f>Source_Data!B14</f>
        <v>0</v>
      </c>
      <c r="F28" s="4">
        <f>Source_Data!D14</f>
        <v>0</v>
      </c>
      <c r="G28" s="4">
        <f t="shared" si="12"/>
        <v>0</v>
      </c>
      <c r="H28" s="4">
        <f t="shared" si="13"/>
        <v>0</v>
      </c>
      <c r="I28" s="4">
        <f>ROUND(IF(C28="OLD",IF(OR(B28="2014-15",B28="2016-17"),IF(E28&lt;=10000000,0,MIN((G28-H28)*15%,MAX(0,(G28-H28)*0%+(E28-10000000)*(70%-30%*0%)))),IF(B28="2015-16",IF(E28&lt;=10000000,0,MIN((G28-H28)*12%,MAX(0,(G28-H28)*0%+(E28-10000000)*(70%-30%*0%)))),IF(OR(B28="2017-18",B28="2018-19"),IF(E28&lt;=5000000,0,IF(E28&lt;=10000000,MIN((G28-H28)*10%,MAX(0,(G28-H28)*0%+(E28-5000000)*(70%-30%*0%))),MIN((G28-H28)*15%,MAX(0,(G28-H28)*10%+(E28-10000000)*(70%-30%*10%))))),IF(E28&lt;=5000000,0,IF(E28&lt;=10000000,MIN((G28-H28)*10%,MAX(0,(G28-H28)*0%+(E28-5000000)*(70%-30%*0%))),IF(E28&lt;=20000000,MIN((G28-H28)*15%,MAX(0,(G28-H28)*10%+(E28-10000000)*(70%-30%*10%))),IF(E28&lt;=50000000,MIN((G28-H28)*25%,MAX(0,(G28-H28)*15%+(E28-20000000)*(70%-30%*15%))),MIN((G28-H28)*37%,MAX(0,(G28-H28)*25%+(E28-50000000)*(70%-30%*25%)))))))))),IF(OR(B28="2023-24",B28="2024-25",B28="2025-26"),IF(E28&lt;=5000000,0,IF(E28&lt;=10000000,MIN((G28-H28)*10%,MAX(0,(G28-H28)*0%+(E28-5000000)*(70%-30%*0%))),IF(E28&lt;=20000000,MIN((G28-H28)*15%,MAX(0,(G28-H28)*10%+(E28-10000000)*(70%-30%*10%))),MIN((G28-H28)*25%,MAX(0,(G28-H28)*15%+(E28-20000000)*(70%-30%*15%)))))),IF(E28&lt;=5000000,0,IF(E28&lt;=10000000,MIN((G28-H28)*10%,MAX(0,(G28-H28)*0%+(E28-5000000)*(70%-30%*0%))),IF(E28&lt;=20000000,MIN((G28-H28)*15%,MAX(0,(G28-H28)*10%+(E28-10000000)*(70%-30%*10%))),IF(E28&lt;=50000000,MIN((G28-H28)*25%,MAX(0,(G28-H28)*15%+(E28-20000000)*(70%-30%*15%))),MIN((G28-H28)*37%,MAX(0,(G28-H28)*25%+(E28-50000000)*(70%-30%*25%))))))))),2)</f>
        <v>0</v>
      </c>
      <c r="J28" s="4">
        <f t="shared" si="15"/>
        <v>0</v>
      </c>
      <c r="K28" s="4">
        <f t="shared" si="16"/>
        <v>0</v>
      </c>
      <c r="L28" s="4">
        <f t="shared" si="17"/>
        <v>0</v>
      </c>
      <c r="M28" s="4">
        <f t="shared" si="18"/>
        <v>0</v>
      </c>
      <c r="N28" s="4">
        <f>ROUND(IF(C28="OLD",IF(OR(B28="2014-15",B28="2016-17"),IF(F28&lt;=10000000,0,MIN((L28-M28)*15%,MAX(0,(L28-M28)*0%+(F28-10000000)*(70%-30%*0%)))),IF(B28="2015-16",IF(F28&lt;=10000000,0,MIN((L28-M28)*12%,MAX(0,(L28-M28)*0%+(F28-10000000)*(70%-30%*0%)))),IF(OR(B28="2017-18",B28="2018-19"),IF(F28&lt;=5000000,0,IF(F28&lt;=10000000,MIN((L28-M28)*10%,MAX(0,(L28-M28)*0%+(F28-5000000)*(70%-30%*0%))),MIN((L28-M28)*15%,MAX(0,(L28-M28)*10%+(F28-10000000)*(70%-30%*10%))))),IF(F28&lt;=5000000,0,IF(F28&lt;=10000000,MIN((L28-M28)*10%,MAX(0,(L28-M28)*0%+(F28-5000000)*(70%-30%*0%))),IF(F28&lt;=20000000,MIN((L28-M28)*15%,MAX(0,(L28-M28)*10%+(F28-10000000)*(70%-30%*10%))),IF(F28&lt;=50000000,MIN((L28-M28)*25%,MAX(0,(L28-M28)*15%+(F28-20000000)*(70%-30%*15%))),MIN((L28-M28)*37%,MAX(0,(L28-M28)*25%+(F28-50000000)*(70%-30%*25%)))))))))),IF(OR(B28="2023-24",B28="2024-25",B28="2025-26"),IF(F28&lt;=5000000,0,IF(F28&lt;=10000000,MIN((L28-M28)*10%,MAX(0,(L28-M28)*0%+(F28-5000000)*(70%-30%*0%))),IF(F28&lt;=20000000,MIN((L28-M28)*15%,MAX(0,(L28-M28)*10%+(F28-10000000)*(70%-30%*10%))),MIN((L28-M28)*25%,MAX(0,(L28-M28)*15%+(F28-20000000)*(70%-30%*15%)))))),IF(F28&lt;=5000000,0,IF(F28&lt;=10000000,MIN((L28-M28)*10%,MAX(0,(L28-M28)*0%+(F28-5000000)*(70%-30%*0%))),IF(F28&lt;=20000000,MIN((L28-M28)*15%,MAX(0,(L28-M28)*10%+(F28-10000000)*(70%-30%*10%))),IF(F28&lt;=50000000,MIN((L28-M28)*25%,MAX(0,(L28-M28)*15%+(F28-20000000)*(70%-30%*15%))),MIN((L28-M28)*37%,MAX(0,(L28-M28)*25%+(F28-50000000)*(70%-30%*25%))))))))),2)</f>
        <v>0</v>
      </c>
      <c r="O28" s="4">
        <f t="shared" si="20"/>
        <v>0</v>
      </c>
      <c r="P28" s="4">
        <f t="shared" si="21"/>
        <v>0</v>
      </c>
      <c r="Q28" s="4">
        <f t="shared" si="22"/>
        <v>0</v>
      </c>
    </row>
    <row r="29" spans="1:17">
      <c r="A29" s="4">
        <f>15</f>
        <v>15</v>
      </c>
      <c r="B29" s="4" t="str">
        <f>Source_Data!A15</f>
        <v>2025-26</v>
      </c>
      <c r="C29" s="4" t="str">
        <f t="shared" si="11"/>
        <v>OLD</v>
      </c>
      <c r="D29" s="4" t="str">
        <f>Source_Data!F15</f>
        <v>Resident-Senior Citizen</v>
      </c>
      <c r="E29" s="4">
        <f>Source_Data!B15</f>
        <v>0</v>
      </c>
      <c r="F29" s="4">
        <f>Source_Data!D15</f>
        <v>0</v>
      </c>
      <c r="G29" s="4">
        <f t="shared" si="12"/>
        <v>0</v>
      </c>
      <c r="H29" s="4">
        <f t="shared" si="13"/>
        <v>0</v>
      </c>
      <c r="I29" s="4">
        <f>ROUND(IF(C29="OLD",IF(OR(B29="2014-15",B29="2016-17"),IF(E29&lt;=10000000,0,MIN((G29-H29)*15%,MAX(0,(G29-H29)*0%+(E29-10000000)*(70%-30%*0%)))),IF(B29="2015-16",IF(E29&lt;=10000000,0,MIN((G29-H29)*12%,MAX(0,(G29-H29)*0%+(E29-10000000)*(70%-30%*0%)))),IF(OR(B29="2017-18",B29="2018-19"),IF(E29&lt;=5000000,0,IF(E29&lt;=10000000,MIN((G29-H29)*10%,MAX(0,(G29-H29)*0%+(E29-5000000)*(70%-30%*0%))),MIN((G29-H29)*15%,MAX(0,(G29-H29)*10%+(E29-10000000)*(70%-30%*10%))))),IF(E29&lt;=5000000,0,IF(E29&lt;=10000000,MIN((G29-H29)*10%,MAX(0,(G29-H29)*0%+(E29-5000000)*(70%-30%*0%))),IF(E29&lt;=20000000,MIN((G29-H29)*15%,MAX(0,(G29-H29)*10%+(E29-10000000)*(70%-30%*10%))),IF(E29&lt;=50000000,MIN((G29-H29)*25%,MAX(0,(G29-H29)*15%+(E29-20000000)*(70%-30%*15%))),MIN((G29-H29)*37%,MAX(0,(G29-H29)*25%+(E29-50000000)*(70%-30%*25%)))))))))),IF(OR(B29="2023-24",B29="2024-25",B29="2025-26"),IF(E29&lt;=5000000,0,IF(E29&lt;=10000000,MIN((G29-H29)*10%,MAX(0,(G29-H29)*0%+(E29-5000000)*(70%-30%*0%))),IF(E29&lt;=20000000,MIN((G29-H29)*15%,MAX(0,(G29-H29)*10%+(E29-10000000)*(70%-30%*10%))),MIN((G29-H29)*25%,MAX(0,(G29-H29)*15%+(E29-20000000)*(70%-30%*15%)))))),IF(E29&lt;=5000000,0,IF(E29&lt;=10000000,MIN((G29-H29)*10%,MAX(0,(G29-H29)*0%+(E29-5000000)*(70%-30%*0%))),IF(E29&lt;=20000000,MIN((G29-H29)*15%,MAX(0,(G29-H29)*10%+(E29-10000000)*(70%-30%*10%))),IF(E29&lt;=50000000,MIN((G29-H29)*25%,MAX(0,(G29-H29)*15%+(E29-20000000)*(70%-30%*15%))),MIN((G29-H29)*37%,MAX(0,(G29-H29)*25%+(E29-50000000)*(70%-30%*25%))))))))),2)</f>
        <v>0</v>
      </c>
      <c r="J29" s="4">
        <f t="shared" si="15"/>
        <v>0</v>
      </c>
      <c r="K29" s="4">
        <f t="shared" si="16"/>
        <v>0</v>
      </c>
      <c r="L29" s="4">
        <f t="shared" si="17"/>
        <v>0</v>
      </c>
      <c r="M29" s="4">
        <f t="shared" si="18"/>
        <v>0</v>
      </c>
      <c r="N29" s="4">
        <f>ROUND(IF(C29="OLD",IF(OR(B29="2014-15",B29="2016-17"),IF(F29&lt;=10000000,0,MIN((L29-M29)*15%,MAX(0,(L29-M29)*0%+(F29-10000000)*(70%-30%*0%)))),IF(B29="2015-16",IF(F29&lt;=10000000,0,MIN((L29-M29)*12%,MAX(0,(L29-M29)*0%+(F29-10000000)*(70%-30%*0%)))),IF(OR(B29="2017-18",B29="2018-19"),IF(F29&lt;=5000000,0,IF(F29&lt;=10000000,MIN((L29-M29)*10%,MAX(0,(L29-M29)*0%+(F29-5000000)*(70%-30%*0%))),MIN((L29-M29)*15%,MAX(0,(L29-M29)*10%+(F29-10000000)*(70%-30%*10%))))),IF(F29&lt;=5000000,0,IF(F29&lt;=10000000,MIN((L29-M29)*10%,MAX(0,(L29-M29)*0%+(F29-5000000)*(70%-30%*0%))),IF(F29&lt;=20000000,MIN((L29-M29)*15%,MAX(0,(L29-M29)*10%+(F29-10000000)*(70%-30%*10%))),IF(F29&lt;=50000000,MIN((L29-M29)*25%,MAX(0,(L29-M29)*15%+(F29-20000000)*(70%-30%*15%))),MIN((L29-M29)*37%,MAX(0,(L29-M29)*25%+(F29-50000000)*(70%-30%*25%)))))))))),IF(OR(B29="2023-24",B29="2024-25",B29="2025-26"),IF(F29&lt;=5000000,0,IF(F29&lt;=10000000,MIN((L29-M29)*10%,MAX(0,(L29-M29)*0%+(F29-5000000)*(70%-30%*0%))),IF(F29&lt;=20000000,MIN((L29-M29)*15%,MAX(0,(L29-M29)*10%+(F29-10000000)*(70%-30%*10%))),MIN((L29-M29)*25%,MAX(0,(L29-M29)*15%+(F29-20000000)*(70%-30%*15%)))))),IF(F29&lt;=5000000,0,IF(F29&lt;=10000000,MIN((L29-M29)*10%,MAX(0,(L29-M29)*0%+(F29-5000000)*(70%-30%*0%))),IF(F29&lt;=20000000,MIN((L29-M29)*15%,MAX(0,(L29-M29)*10%+(F29-10000000)*(70%-30%*10%))),IF(F29&lt;=50000000,MIN((L29-M29)*25%,MAX(0,(L29-M29)*15%+(F29-20000000)*(70%-30%*15%))),MIN((L29-M29)*37%,MAX(0,(L29-M29)*25%+(F29-50000000)*(70%-30%*25%))))))))),2)</f>
        <v>0</v>
      </c>
      <c r="O29" s="4">
        <f t="shared" si="20"/>
        <v>0</v>
      </c>
      <c r="P29" s="4">
        <f t="shared" si="21"/>
        <v>0</v>
      </c>
      <c r="Q29" s="4">
        <f t="shared" si="22"/>
        <v>0</v>
      </c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>
        <f>4</f>
        <v>4</v>
      </c>
      <c r="B32" s="4" t="str">
        <f>Source_Data!A4</f>
        <v>2014-15</v>
      </c>
      <c r="C32" s="4" t="str">
        <f t="shared" ref="C32:C43" si="23">"NEW"</f>
        <v>NEW</v>
      </c>
      <c r="D32" s="4" t="str">
        <f>Source_Data!F4</f>
        <v>Resident-Normal Citizen</v>
      </c>
      <c r="E32" s="4">
        <f>Source_Data!B4</f>
        <v>0</v>
      </c>
      <c r="F32" s="4">
        <f>Source_Data!D4</f>
        <v>0</v>
      </c>
      <c r="G32" s="4">
        <f t="shared" ref="G32:G43" si="24">ROUND(IF(C32="OLD",MAX(0,MIN(E32,500000)-IF(D32="Resident-Senior Citizen",300000,250000))*IF(B32="2016-17",10%,5%)+MAX(0,MIN(E32,1000000)-500000)*20%+MAX(0,E32-1000000)*30%,IF(OR(B32="2020-21",B32="2021-22",B32="2022-23"),MAX(0,MIN(E32,500000)-250000)*5%+MAX(0,MIN(E32,750000)-500000)*10%+MAX(0,MIN(E32,1000000)-750000)*15%+MAX(0,MIN(E32,1250000)-1000000)*20%+MAX(0,MIN(E32,1500000)-1250000)*25%+MAX(0,E32-1500000)*30%,IF(B32="2023-24",MAX(0,MIN(E32,600000)-300000)*5%+MAX(0,MIN(E32,900000)-600000)*10%+MAX(0,MIN(E32,1200000)-900000)*15%+MAX(0,MIN(E32,1500000)-1200000)*20%+MAX(0,E32-1500000)*30%,IF(B32="2024-25",MAX(0,MIN(E32,700000)-300000)*5%+MAX(0,MIN(E32,1000000)-700000)*10%+MAX(0,MIN(E32,1200000)-1000000)*15%+MAX(0,MIN(E32,1500000)-1200000)*20%+MAX(0,E32-1500000)*30%,IF(B32="2025-26",MAX(0,MIN(E32,800000)-400000)*5%+MAX(0,MIN(E32,1200000)-800000)*10%+MAX(0,MIN(E32,1600000)-1200000)*15%+MAX(0,MIN(E32,2000000)-1600000)*20%+MAX(0,MIN(E32,2400000)-2000000)*25%+MAX(0,E32-2400000)*30%,0))))),2)</f>
        <v>0</v>
      </c>
      <c r="H32" s="4">
        <f t="shared" ref="H32:H43" si="25">ROUND(MAX(IF(C32="OLD",IF(E32&lt;=IF(OR(B32="2014-15",B32="2015-16",B32="2016-17"),500000,IF(OR(B32="2017-18",B32="2018-19"),350000,500000)),MIN(G32,IF(OR(B32="2014-15",B32="2015-16"),2000,IF(B32="2016-17",5000,IF(OR(B32="2017-18",B32="2018-19"),2500,12500)))),0),IF(E32&lt;=IF(OR(B32="2023-24",B32="2024-25"),700000,IF(B32="2025-26",1200000,500000)),MIN(G32,IF(OR(B32="2023-24",B32="2024-25"),25000,IF(B32="2025-26",60000,12500))),0)),IF(AND(C32="NEW",B32="2025-26",E32&gt;1200000),MAX(0,G32-(E32-1200000)),0)),2)</f>
        <v>0</v>
      </c>
      <c r="I32" s="4">
        <f t="shared" ref="I32:I39" si="26">ROUND(IF(C32="OLD",IF(OR(B32="2014-15",B32="2016-17"),IF(E32&lt;=10000000,0,MIN((G32-H32)*15%,MAX(0,(G32-H32)*0%+(E32-10000000)*(70%-30%*0%)))),IF(B32="2015-16",IF(E32&lt;=10000000,0,MIN((G32-H32)*12%,MAX(0,(G32-H32)*0%+(E32-10000000)*(70%-30%*0%)))),IF(OR(B32="2017-18",B32="2018-19"),IF(E32&lt;=5000000,0,IF(E32&lt;=10000000,MIN((G32-H32)*10%,MAX(0,(G32-H32)*0%+(E32-5000000)*(70%-30%*0%))),MIN((G32-H32)*15%,MAX(0,(G32-H32)*10%+(E32-10000000)*(70%-30%*10%))))),IF(E32&lt;=5000000,0,IF(E32&lt;=10000000,MIN((G32-H32)*10%,MAX(0,(G32-H32)*0%+(E32-5000000)*(70%-30%*0%))),IF(E32&lt;=20000000,MIN((G32-H32)*15%,MAX(0,(G32-H32)*10%+(E32-10000000)*(70%-30%*10%))),IF(E32&lt;=50000000,MIN((G32-H32)*25%,MAX(0,(G32-H32)*15%+(E32-20000000)*(70%-30%*15%))),MIN((G32-H32)*37%,MAX(0,(G32-H32)*25%+(E32-50000000)*(70%-30%*25%)))))))))),IF(OR(B32="2023-24",B32="2024-25",B32="2025-26"),IF(E32&lt;=5000000,0,IF(E32&lt;=10000000,MIN((G32-H32)*10%,MAX(0,(G32-H32)*0%+(E32-5000000)*(70%-30%*0%))),IF(E32&lt;=20000000,MIN((G32-H32)*15%,MAX(0,(G32-H32)*10%+(E32-10000000)*(70%-30%*10%))),MIN((G32-H32)*25%,MAX(0,(G32-H32)*15%+(E32-20000000)*(70%-30%*15%)))))),IF(E32&lt;=5000000,0,IF(E32&lt;=10000000,MIN((G32-H32)*10%,MAX(0,(G32-H32)*0%+(E32-5000000)*(70%-30%*0%))),IF(E32&lt;=20000000,MIN((G32-H32)*15%,MAX(0,(G32-H32)*10%+(E32-10000000)*(70%-30%*10%))),IF(E32&lt;=50000000,MIN((G32-H32)*25%,MAX(0,(G32-H32)*15%+(E32-20000000)*(70%-30%*15%))),MIN((G32-H32)*37%,MAX(0,(G32-H32)*25%+(E32-50000000)*(70%-30%*25%))))))))),2)</f>
        <v>0</v>
      </c>
      <c r="J32" s="4">
        <f t="shared" ref="J32:J43" si="27">ROUND((G32-H32+I32)*IF(OR(B32="2014-15",B32="2015-16",B32="2016-17",B32="2017-18"),3%,4%),2)</f>
        <v>0</v>
      </c>
      <c r="K32" s="4">
        <f t="shared" ref="K32:K43" si="28">ROUND(G32-H32+I32+J32,2)</f>
        <v>0</v>
      </c>
      <c r="L32" s="4">
        <f t="shared" ref="L32:L43" si="29">ROUND(IF(C32="OLD",MAX(0,MIN(F32,500000)-IF(D32="Resident-Senior Citizen",300000,250000))*IF(B32="2016-17",10%,5%)+MAX(0,MIN(F32,1000000)-500000)*20%+MAX(0,F32-1000000)*30%,IF(OR(B32="2020-21",B32="2021-22",B32="2022-23"),MAX(0,MIN(F32,500000)-250000)*5%+MAX(0,MIN(F32,750000)-500000)*10%+MAX(0,MIN(F32,1000000)-750000)*15%+MAX(0,MIN(F32,1250000)-1000000)*20%+MAX(0,MIN(F32,1500000)-1250000)*25%+MAX(0,F32-1500000)*30%,IF(B32="2023-24",MAX(0,MIN(F32,600000)-300000)*5%+MAX(0,MIN(F32,900000)-600000)*10%+MAX(0,MIN(F32,1200000)-900000)*15%+MAX(0,MIN(F32,1500000)-1200000)*20%+MAX(0,F32-1500000)*30%,IF(B32="2024-25",MAX(0,MIN(F32,700000)-300000)*5%+MAX(0,MIN(F32,1000000)-700000)*10%+MAX(0,MIN(F32,1200000)-1000000)*15%+MAX(0,MIN(F32,1500000)-1200000)*20%+MAX(0,F32-1500000)*30%,IF(B32="2025-26",MAX(0,MIN(F32,800000)-400000)*5%+MAX(0,MIN(F32,1200000)-800000)*10%+MAX(0,MIN(F32,1600000)-1200000)*15%+MAX(0,MIN(F32,2000000)-1600000)*20%+MAX(0,MIN(F32,2400000)-2000000)*25%+MAX(0,F32-2400000)*30%,0))))),2)</f>
        <v>0</v>
      </c>
      <c r="M32" s="4">
        <f t="shared" ref="M32:M43" si="30">ROUND(MAX(IF(C32="OLD",IF(F32&lt;=IF(OR(B32="2014-15",B32="2015-16",B32="2016-17"),500000,IF(OR(B32="2017-18",B32="2018-19"),350000,500000)),MIN(L32,IF(OR(B32="2014-15",B32="2015-16"),2000,IF(B32="2016-17",5000,IF(OR(B32="2017-18",B32="2018-19"),2500,12500)))),0),IF(F32&lt;=IF(OR(B32="2023-24",B32="2024-25"),700000,IF(B32="2025-26",1200000,500000)),MIN(L32,IF(OR(B32="2023-24",B32="2024-25"),25000,IF(B32="2025-26",60000,12500))),0)),IF(AND(C32="NEW",B32="2025-26",F32&gt;1200000),MAX(0,L32-(F32-1200000)),0)),2)</f>
        <v>0</v>
      </c>
      <c r="N32" s="4">
        <f t="shared" ref="N32:N39" si="31">ROUND(IF(C32="OLD",IF(OR(B32="2014-15",B32="2016-17"),IF(F32&lt;=10000000,0,MIN((L32-M32)*15%,MAX(0,(L32-M32)*0%+(F32-10000000)*(70%-30%*0%)))),IF(B32="2015-16",IF(F32&lt;=10000000,0,MIN((L32-M32)*12%,MAX(0,(L32-M32)*0%+(F32-10000000)*(70%-30%*0%)))),IF(OR(B32="2017-18",B32="2018-19"),IF(F32&lt;=5000000,0,IF(F32&lt;=10000000,MIN((L32-M32)*10%,MAX(0,(L32-M32)*0%+(F32-5000000)*(70%-30%*0%))),MIN((L32-M32)*15%,MAX(0,(L32-M32)*10%+(F32-10000000)*(70%-30%*10%))))),IF(F32&lt;=5000000,0,IF(F32&lt;=10000000,MIN((L32-M32)*10%,MAX(0,(L32-M32)*0%+(F32-5000000)*(70%-30%*0%))),IF(F32&lt;=20000000,MIN((L32-M32)*15%,MAX(0,(L32-M32)*10%+(F32-10000000)*(70%-30%*10%))),IF(F32&lt;=50000000,MIN((L32-M32)*25%,MAX(0,(L32-M32)*15%+(F32-20000000)*(70%-30%*15%))),MIN((L32-M32)*37%,MAX(0,(L32-M32)*25%+(F32-50000000)*(70%-30%*25%)))))))))),IF(OR(B32="2023-24",B32="2024-25",B32="2025-26"),IF(F32&lt;=5000000,0,IF(F32&lt;=10000000,MIN((L32-M32)*10%,MAX(0,(L32-M32)*0%+(F32-5000000)*(70%-30%*0%))),IF(F32&lt;=20000000,MIN((L32-M32)*15%,MAX(0,(L32-M32)*10%+(F32-10000000)*(70%-30%*10%))),MIN((L32-M32)*25%,MAX(0,(L32-M32)*15%+(F32-20000000)*(70%-30%*15%)))))),IF(F32&lt;=5000000,0,IF(F32&lt;=10000000,MIN((L32-M32)*10%,MAX(0,(L32-M32)*0%+(F32-5000000)*(70%-30%*0%))),IF(F32&lt;=20000000,MIN((L32-M32)*15%,MAX(0,(L32-M32)*10%+(F32-10000000)*(70%-30%*10%))),IF(F32&lt;=50000000,MIN((L32-M32)*25%,MAX(0,(L32-M32)*15%+(F32-20000000)*(70%-30%*15%))),MIN((L32-M32)*37%,MAX(0,(L32-M32)*25%+(F32-50000000)*(70%-30%*25%))))))))),2)</f>
        <v>0</v>
      </c>
      <c r="O32" s="4">
        <f t="shared" ref="O32:O43" si="32">ROUND((L32-M32+N32)*IF(OR(B32="2014-15",B32="2015-16",B32="2016-17",B32="2017-18"),3%,4%),2)</f>
        <v>0</v>
      </c>
      <c r="P32" s="4">
        <f t="shared" ref="P32:P43" si="33">ROUND(L32-M32+N32+O32,2)</f>
        <v>0</v>
      </c>
      <c r="Q32" s="4">
        <f t="shared" ref="Q32:Q43" si="34">ROUND(P32-K32,2)</f>
        <v>0</v>
      </c>
    </row>
    <row r="33" spans="1:17">
      <c r="A33" s="4">
        <f>5</f>
        <v>5</v>
      </c>
      <c r="B33" s="4" t="str">
        <f>Source_Data!A5</f>
        <v>2015-16</v>
      </c>
      <c r="C33" s="4" t="str">
        <f t="shared" si="23"/>
        <v>NEW</v>
      </c>
      <c r="D33" s="4" t="str">
        <f>Source_Data!F5</f>
        <v>Resident-Normal Citizen</v>
      </c>
      <c r="E33" s="4">
        <f>Source_Data!B5</f>
        <v>0</v>
      </c>
      <c r="F33" s="4">
        <f>Source_Data!D5</f>
        <v>0</v>
      </c>
      <c r="G33" s="4">
        <f t="shared" si="24"/>
        <v>0</v>
      </c>
      <c r="H33" s="4">
        <f t="shared" si="25"/>
        <v>0</v>
      </c>
      <c r="I33" s="4">
        <f t="shared" si="26"/>
        <v>0</v>
      </c>
      <c r="J33" s="4">
        <f t="shared" si="27"/>
        <v>0</v>
      </c>
      <c r="K33" s="4">
        <f t="shared" si="28"/>
        <v>0</v>
      </c>
      <c r="L33" s="4">
        <f t="shared" si="29"/>
        <v>0</v>
      </c>
      <c r="M33" s="4">
        <f t="shared" si="30"/>
        <v>0</v>
      </c>
      <c r="N33" s="4">
        <f t="shared" si="31"/>
        <v>0</v>
      </c>
      <c r="O33" s="4">
        <f t="shared" si="32"/>
        <v>0</v>
      </c>
      <c r="P33" s="4">
        <f t="shared" si="33"/>
        <v>0</v>
      </c>
      <c r="Q33" s="4">
        <f t="shared" si="34"/>
        <v>0</v>
      </c>
    </row>
    <row r="34" spans="1:17">
      <c r="A34" s="4">
        <f>6</f>
        <v>6</v>
      </c>
      <c r="B34" s="4" t="str">
        <f>Source_Data!A6</f>
        <v>2016-17</v>
      </c>
      <c r="C34" s="4" t="str">
        <f t="shared" si="23"/>
        <v>NEW</v>
      </c>
      <c r="D34" s="4" t="str">
        <f>Source_Data!F6</f>
        <v>Resident-Senior Citizen</v>
      </c>
      <c r="E34" s="4">
        <f>Source_Data!B6</f>
        <v>0</v>
      </c>
      <c r="F34" s="4">
        <f>Source_Data!D6</f>
        <v>0</v>
      </c>
      <c r="G34" s="4">
        <f t="shared" si="24"/>
        <v>0</v>
      </c>
      <c r="H34" s="4">
        <f t="shared" si="25"/>
        <v>0</v>
      </c>
      <c r="I34" s="4">
        <f t="shared" si="26"/>
        <v>0</v>
      </c>
      <c r="J34" s="4">
        <f t="shared" si="27"/>
        <v>0</v>
      </c>
      <c r="K34" s="4">
        <f t="shared" si="28"/>
        <v>0</v>
      </c>
      <c r="L34" s="4">
        <f t="shared" si="29"/>
        <v>0</v>
      </c>
      <c r="M34" s="4">
        <f t="shared" si="30"/>
        <v>0</v>
      </c>
      <c r="N34" s="4">
        <f t="shared" si="31"/>
        <v>0</v>
      </c>
      <c r="O34" s="4">
        <f t="shared" si="32"/>
        <v>0</v>
      </c>
      <c r="P34" s="4">
        <f t="shared" si="33"/>
        <v>0</v>
      </c>
      <c r="Q34" s="4">
        <f t="shared" si="34"/>
        <v>0</v>
      </c>
    </row>
    <row r="35" spans="1:17">
      <c r="A35" s="4">
        <f>7</f>
        <v>7</v>
      </c>
      <c r="B35" s="4" t="str">
        <f>Source_Data!A7</f>
        <v>2017-18</v>
      </c>
      <c r="C35" s="4" t="str">
        <f t="shared" si="23"/>
        <v>NEW</v>
      </c>
      <c r="D35" s="4" t="str">
        <f>Source_Data!F7</f>
        <v>Resident-Senior Citizen</v>
      </c>
      <c r="E35" s="4">
        <f>Source_Data!B7</f>
        <v>0</v>
      </c>
      <c r="F35" s="4">
        <f>Source_Data!D7</f>
        <v>0</v>
      </c>
      <c r="G35" s="4">
        <f t="shared" si="24"/>
        <v>0</v>
      </c>
      <c r="H35" s="4">
        <f t="shared" si="25"/>
        <v>0</v>
      </c>
      <c r="I35" s="4">
        <f t="shared" si="26"/>
        <v>0</v>
      </c>
      <c r="J35" s="4">
        <f t="shared" si="27"/>
        <v>0</v>
      </c>
      <c r="K35" s="4">
        <f t="shared" si="28"/>
        <v>0</v>
      </c>
      <c r="L35" s="4">
        <f t="shared" si="29"/>
        <v>0</v>
      </c>
      <c r="M35" s="4">
        <f t="shared" si="30"/>
        <v>0</v>
      </c>
      <c r="N35" s="4">
        <f t="shared" si="31"/>
        <v>0</v>
      </c>
      <c r="O35" s="4">
        <f t="shared" si="32"/>
        <v>0</v>
      </c>
      <c r="P35" s="4">
        <f t="shared" si="33"/>
        <v>0</v>
      </c>
      <c r="Q35" s="4">
        <f t="shared" si="34"/>
        <v>0</v>
      </c>
    </row>
    <row r="36" spans="1:17">
      <c r="A36" s="4">
        <f>8</f>
        <v>8</v>
      </c>
      <c r="B36" s="4" t="str">
        <f>Source_Data!A8</f>
        <v>2018-19</v>
      </c>
      <c r="C36" s="4" t="str">
        <f t="shared" si="23"/>
        <v>NEW</v>
      </c>
      <c r="D36" s="4" t="str">
        <f>Source_Data!F8</f>
        <v>Resident-Normal Citizen</v>
      </c>
      <c r="E36" s="4">
        <f>Source_Data!B8</f>
        <v>0</v>
      </c>
      <c r="F36" s="4">
        <f>Source_Data!D8</f>
        <v>0</v>
      </c>
      <c r="G36" s="4">
        <f t="shared" si="24"/>
        <v>0</v>
      </c>
      <c r="H36" s="4">
        <f t="shared" si="25"/>
        <v>0</v>
      </c>
      <c r="I36" s="4">
        <f t="shared" si="26"/>
        <v>0</v>
      </c>
      <c r="J36" s="4">
        <f t="shared" si="27"/>
        <v>0</v>
      </c>
      <c r="K36" s="4">
        <f t="shared" si="28"/>
        <v>0</v>
      </c>
      <c r="L36" s="4">
        <f t="shared" si="29"/>
        <v>0</v>
      </c>
      <c r="M36" s="4">
        <f t="shared" si="30"/>
        <v>0</v>
      </c>
      <c r="N36" s="4">
        <f t="shared" si="31"/>
        <v>0</v>
      </c>
      <c r="O36" s="4">
        <f t="shared" si="32"/>
        <v>0</v>
      </c>
      <c r="P36" s="4">
        <f t="shared" si="33"/>
        <v>0</v>
      </c>
      <c r="Q36" s="4">
        <f t="shared" si="34"/>
        <v>0</v>
      </c>
    </row>
    <row r="37" spans="1:17">
      <c r="A37" s="4">
        <f>9</f>
        <v>9</v>
      </c>
      <c r="B37" s="4" t="str">
        <f>Source_Data!A9</f>
        <v>2019-20</v>
      </c>
      <c r="C37" s="4" t="str">
        <f t="shared" si="23"/>
        <v>NEW</v>
      </c>
      <c r="D37" s="4" t="str">
        <f>Source_Data!F9</f>
        <v>Resident-Normal Citizen</v>
      </c>
      <c r="E37" s="4">
        <f>Source_Data!B9</f>
        <v>0</v>
      </c>
      <c r="F37" s="4">
        <f>Source_Data!D9</f>
        <v>0</v>
      </c>
      <c r="G37" s="4">
        <f t="shared" si="24"/>
        <v>0</v>
      </c>
      <c r="H37" s="4">
        <f t="shared" si="25"/>
        <v>0</v>
      </c>
      <c r="I37" s="4">
        <f t="shared" si="26"/>
        <v>0</v>
      </c>
      <c r="J37" s="4">
        <f t="shared" si="27"/>
        <v>0</v>
      </c>
      <c r="K37" s="4">
        <f t="shared" si="28"/>
        <v>0</v>
      </c>
      <c r="L37" s="4">
        <f t="shared" si="29"/>
        <v>0</v>
      </c>
      <c r="M37" s="4">
        <f t="shared" si="30"/>
        <v>0</v>
      </c>
      <c r="N37" s="4">
        <f t="shared" si="31"/>
        <v>0</v>
      </c>
      <c r="O37" s="4">
        <f t="shared" si="32"/>
        <v>0</v>
      </c>
      <c r="P37" s="4">
        <f t="shared" si="33"/>
        <v>0</v>
      </c>
      <c r="Q37" s="4">
        <f t="shared" si="34"/>
        <v>0</v>
      </c>
    </row>
    <row r="38" spans="1:17">
      <c r="A38" s="4">
        <f>10</f>
        <v>10</v>
      </c>
      <c r="B38" s="4" t="str">
        <f>Source_Data!A10</f>
        <v>2020-21</v>
      </c>
      <c r="C38" s="4" t="str">
        <f t="shared" si="23"/>
        <v>NEW</v>
      </c>
      <c r="D38" s="4" t="str">
        <f>Source_Data!F10</f>
        <v>Resident-Senior Citizen</v>
      </c>
      <c r="E38" s="4">
        <f>Source_Data!B10</f>
        <v>0</v>
      </c>
      <c r="F38" s="4">
        <f>Source_Data!D10</f>
        <v>0</v>
      </c>
      <c r="G38" s="4">
        <f t="shared" si="24"/>
        <v>0</v>
      </c>
      <c r="H38" s="4">
        <f t="shared" si="25"/>
        <v>0</v>
      </c>
      <c r="I38" s="4">
        <f t="shared" si="26"/>
        <v>0</v>
      </c>
      <c r="J38" s="4">
        <f t="shared" si="27"/>
        <v>0</v>
      </c>
      <c r="K38" s="4">
        <f t="shared" si="28"/>
        <v>0</v>
      </c>
      <c r="L38" s="4">
        <f t="shared" si="29"/>
        <v>0</v>
      </c>
      <c r="M38" s="4">
        <f t="shared" si="30"/>
        <v>0</v>
      </c>
      <c r="N38" s="4">
        <f t="shared" si="31"/>
        <v>0</v>
      </c>
      <c r="O38" s="4">
        <f t="shared" si="32"/>
        <v>0</v>
      </c>
      <c r="P38" s="4">
        <f t="shared" si="33"/>
        <v>0</v>
      </c>
      <c r="Q38" s="4">
        <f t="shared" si="34"/>
        <v>0</v>
      </c>
    </row>
    <row r="39" spans="1:17">
      <c r="A39" s="4">
        <f>11</f>
        <v>11</v>
      </c>
      <c r="B39" s="4" t="str">
        <f>Source_Data!A11</f>
        <v>2021-22</v>
      </c>
      <c r="C39" s="4" t="str">
        <f t="shared" si="23"/>
        <v>NEW</v>
      </c>
      <c r="D39" s="4" t="str">
        <f>Source_Data!F11</f>
        <v>Resident-Senior Citizen</v>
      </c>
      <c r="E39" s="4">
        <f>Source_Data!B11</f>
        <v>0</v>
      </c>
      <c r="F39" s="4">
        <f>Source_Data!D11</f>
        <v>0</v>
      </c>
      <c r="G39" s="4">
        <f t="shared" si="24"/>
        <v>0</v>
      </c>
      <c r="H39" s="4">
        <f t="shared" si="25"/>
        <v>0</v>
      </c>
      <c r="I39" s="4">
        <f t="shared" si="26"/>
        <v>0</v>
      </c>
      <c r="J39" s="4">
        <f t="shared" si="27"/>
        <v>0</v>
      </c>
      <c r="K39" s="4">
        <f t="shared" si="28"/>
        <v>0</v>
      </c>
      <c r="L39" s="4">
        <f t="shared" si="29"/>
        <v>0</v>
      </c>
      <c r="M39" s="4">
        <f t="shared" si="30"/>
        <v>0</v>
      </c>
      <c r="N39" s="4">
        <f t="shared" si="31"/>
        <v>0</v>
      </c>
      <c r="O39" s="4">
        <f t="shared" si="32"/>
        <v>0</v>
      </c>
      <c r="P39" s="4">
        <f t="shared" si="33"/>
        <v>0</v>
      </c>
      <c r="Q39" s="4">
        <f t="shared" si="34"/>
        <v>0</v>
      </c>
    </row>
    <row r="40" spans="1:17">
      <c r="A40" s="4">
        <f>12</f>
        <v>12</v>
      </c>
      <c r="B40" s="4" t="str">
        <f>Source_Data!A12</f>
        <v>2022-23</v>
      </c>
      <c r="C40" s="4" t="str">
        <f t="shared" si="23"/>
        <v>NEW</v>
      </c>
      <c r="D40" s="4" t="str">
        <f>Source_Data!F12</f>
        <v>Resident-Senior Citizen</v>
      </c>
      <c r="E40" s="4">
        <f>Source_Data!B12</f>
        <v>0</v>
      </c>
      <c r="F40" s="4">
        <f>Source_Data!D12</f>
        <v>0</v>
      </c>
      <c r="G40" s="4">
        <f t="shared" si="24"/>
        <v>0</v>
      </c>
      <c r="H40" s="4">
        <f t="shared" si="25"/>
        <v>0</v>
      </c>
      <c r="I40" s="4">
        <f>ROUND(IF(C40="OLD",IF(OR(B40="2014-15",B40="2016-17"),IF(E40&lt;=10000000,0,MIN((G40-H40)*15%,MAX(0,(G40-H40)*0%+(E40-10000000)*(70%-30%*0%)))),IF(B40="2015-16",IF(E40&lt;=10000000,0,MIN((G40-H40)*12%,MAX(0,(G40-H40)*0%+(E40-10000000)*(70%-30%*0%)))),IF(OR(B40="2017-18",B40="2018-19"),IF(E40&lt;=5000000,0,IF(E40&lt;=10000000,MIN((G40-H40)*10%,MAX(0,(G40-H40)*0%+(E40-5000000)*(70%-30%*0%))),MIN((G40-H40)*15%,MAX(0,(G40-H40)*10%+(E40-10000000)*(70%-30%*10%))))),IF(E40&lt;=5000000,0,IF(E40&lt;=10000000,MIN((G40-H40)*10%,MAX(0,(G40-H40)*0%+(E40-5000000)*(70%-30%*0%))),IF(E40&lt;=20000000,MIN((G40-H40)*15%,MAX(0,(G40-H40)*10%+(E40-10000000)*(70%-30%*10%))),IF(E40&lt;=50000000,MIN((G40-H40)*25%,MAX(0,(G40-H40)*15%+(E40-20000000)*(70%-30%*15%))),MIN((G40-H40)*37%,MAX(0,(G40-H40)*25%+(E40-50000000)*(70%-30%*25%)))))))))),IF(OR(B40="2023-24",B40="2024-25",B40="2025-26"),IF(E40&lt;=5000000,0,IF(E40&lt;=10000000,MIN((G40-H40)*10%,MAX(0,(G40-H40)*0%+(E40-5000000)*(70%-30%*0%))),IF(E40&lt;=20000000,MIN((G40-H40)*15%,MAX(0,(G40-H40)*10%+(E40-10000000)*(70%-30%*10%))),MIN((G40-H40)*25%,MAX(0,(G40-H40)*15%+(E40-20000000)*(70%-30%*15%)))))),IF(E40&lt;=5000000,0,IF(E40&lt;=10000000,MIN((G40-H40)*10%,MAX(0,(G40-H40)*0%+(E40-5000000)*(70%-30%*0%))),IF(E40&lt;=20000000,MIN((G40-H40)*15%,MAX(0,(G40-H40)*10%+(E40-10000000)*(70%-30%*10%))),IF(E40&lt;=50000000,MIN((G40-H40)*25%,MAX(0,(G40-H40)*15%+(E40-20000000)*(70%-30%*15%))),MIN((G40-H40)*37%,MAX(0,(G40-H40)*25%+(E40-50000000)*(70%-30%*25%))))))))),2)</f>
        <v>0</v>
      </c>
      <c r="J40" s="4">
        <f t="shared" si="27"/>
        <v>0</v>
      </c>
      <c r="K40" s="4">
        <f t="shared" si="28"/>
        <v>0</v>
      </c>
      <c r="L40" s="4">
        <f t="shared" si="29"/>
        <v>0</v>
      </c>
      <c r="M40" s="4">
        <f t="shared" si="30"/>
        <v>0</v>
      </c>
      <c r="N40" s="4">
        <f>ROUND(IF(C40="OLD",IF(OR(B40="2014-15",B40="2016-17"),IF(F40&lt;=10000000,0,MIN((L40-M40)*15%,MAX(0,(L40-M40)*0%+(F40-10000000)*(70%-30%*0%)))),IF(B40="2015-16",IF(F40&lt;=10000000,0,MIN((L40-M40)*12%,MAX(0,(L40-M40)*0%+(F40-10000000)*(70%-30%*0%)))),IF(OR(B40="2017-18",B40="2018-19"),IF(F40&lt;=5000000,0,IF(F40&lt;=10000000,MIN((L40-M40)*10%,MAX(0,(L40-M40)*0%+(F40-5000000)*(70%-30%*0%))),MIN((L40-M40)*15%,MAX(0,(L40-M40)*10%+(F40-10000000)*(70%-30%*10%))))),IF(F40&lt;=5000000,0,IF(F40&lt;=10000000,MIN((L40-M40)*10%,MAX(0,(L40-M40)*0%+(F40-5000000)*(70%-30%*0%))),IF(F40&lt;=20000000,MIN((L40-M40)*15%,MAX(0,(L40-M40)*10%+(F40-10000000)*(70%-30%*10%))),IF(F40&lt;=50000000,MIN((L40-M40)*25%,MAX(0,(L40-M40)*15%+(F40-20000000)*(70%-30%*15%))),MIN((L40-M40)*37%,MAX(0,(L40-M40)*25%+(F40-50000000)*(70%-30%*25%)))))))))),IF(OR(B40="2023-24",B40="2024-25",B40="2025-26"),IF(F40&lt;=5000000,0,IF(F40&lt;=10000000,MIN((L40-M40)*10%,MAX(0,(L40-M40)*0%+(F40-5000000)*(70%-30%*0%))),IF(F40&lt;=20000000,MIN((L40-M40)*15%,MAX(0,(L40-M40)*10%+(F40-10000000)*(70%-30%*10%))),MIN((L40-M40)*25%,MAX(0,(L40-M40)*15%+(F40-20000000)*(70%-30%*15%)))))),IF(F40&lt;=5000000,0,IF(F40&lt;=10000000,MIN((L40-M40)*10%,MAX(0,(L40-M40)*0%+(F40-5000000)*(70%-30%*0%))),IF(F40&lt;=20000000,MIN((L40-M40)*15%,MAX(0,(L40-M40)*10%+(F40-10000000)*(70%-30%*10%))),IF(F40&lt;=50000000,MIN((L40-M40)*25%,MAX(0,(L40-M40)*15%+(F40-20000000)*(70%-30%*15%))),MIN((L40-M40)*37%,MAX(0,(L40-M40)*25%+(F40-50000000)*(70%-30%*25%))))))))),2)</f>
        <v>0</v>
      </c>
      <c r="O40" s="4">
        <f t="shared" si="32"/>
        <v>0</v>
      </c>
      <c r="P40" s="4">
        <f t="shared" si="33"/>
        <v>0</v>
      </c>
      <c r="Q40" s="4">
        <f t="shared" si="34"/>
        <v>0</v>
      </c>
    </row>
    <row r="41" spans="1:17">
      <c r="A41" s="4">
        <f>13</f>
        <v>13</v>
      </c>
      <c r="B41" s="4" t="str">
        <f>Source_Data!A13</f>
        <v>2023-24</v>
      </c>
      <c r="C41" s="4" t="str">
        <f t="shared" si="23"/>
        <v>NEW</v>
      </c>
      <c r="D41" s="4" t="str">
        <f>Source_Data!F13</f>
        <v>Resident-Senior Citizen</v>
      </c>
      <c r="E41" s="4">
        <f>Source_Data!B13</f>
        <v>0</v>
      </c>
      <c r="F41" s="4">
        <f>Source_Data!D13</f>
        <v>0</v>
      </c>
      <c r="G41" s="4">
        <f t="shared" si="24"/>
        <v>0</v>
      </c>
      <c r="H41" s="4">
        <f t="shared" si="25"/>
        <v>0</v>
      </c>
      <c r="I41" s="4">
        <f>ROUND(IF(C41="OLD",IF(OR(B41="2014-15",B41="2016-17"),IF(E41&lt;=10000000,0,MIN((G41-H41)*15%,MAX(0,(G41-H41)*0%+(E41-10000000)*(70%-30%*0%)))),IF(B41="2015-16",IF(E41&lt;=10000000,0,MIN((G41-H41)*12%,MAX(0,(G41-H41)*0%+(E41-10000000)*(70%-30%*0%)))),IF(OR(B41="2017-18",B41="2018-19"),IF(E41&lt;=5000000,0,IF(E41&lt;=10000000,MIN((G41-H41)*10%,MAX(0,(G41-H41)*0%+(E41-5000000)*(70%-30%*0%))),MIN((G41-H41)*15%,MAX(0,(G41-H41)*10%+(E41-10000000)*(70%-30%*10%))))),IF(E41&lt;=5000000,0,IF(E41&lt;=10000000,MIN((G41-H41)*10%,MAX(0,(G41-H41)*0%+(E41-5000000)*(70%-30%*0%))),IF(E41&lt;=20000000,MIN((G41-H41)*15%,MAX(0,(G41-H41)*10%+(E41-10000000)*(70%-30%*10%))),IF(E41&lt;=50000000,MIN((G41-H41)*25%,MAX(0,(G41-H41)*15%+(E41-20000000)*(70%-30%*15%))),MIN((G41-H41)*37%,MAX(0,(G41-H41)*25%+(E41-50000000)*(70%-30%*25%)))))))))),IF(OR(B41="2023-24",B41="2024-25",B41="2025-26"),IF(E41&lt;=5000000,0,IF(E41&lt;=10000000,MIN((G41-H41)*10%,MAX(0,(G41-H41)*0%+(E41-5000000)*(70%-30%*0%))),IF(E41&lt;=20000000,MIN((G41-H41)*15%,MAX(0,(G41-H41)*10%+(E41-10000000)*(70%-30%*10%))),MIN((G41-H41)*25%,MAX(0,(G41-H41)*15%+(E41-20000000)*(70%-30%*15%)))))),IF(E41&lt;=5000000,0,IF(E41&lt;=10000000,MIN((G41-H41)*10%,MAX(0,(G41-H41)*0%+(E41-5000000)*(70%-30%*0%))),IF(E41&lt;=20000000,MIN((G41-H41)*15%,MAX(0,(G41-H41)*10%+(E41-10000000)*(70%-30%*10%))),IF(E41&lt;=50000000,MIN((G41-H41)*25%,MAX(0,(G41-H41)*15%+(E41-20000000)*(70%-30%*15%))),MIN((G41-H41)*37%,MAX(0,(G41-H41)*25%+(E41-50000000)*(70%-30%*25%))))))))),2)</f>
        <v>0</v>
      </c>
      <c r="J41" s="4">
        <f t="shared" si="27"/>
        <v>0</v>
      </c>
      <c r="K41" s="4">
        <f t="shared" si="28"/>
        <v>0</v>
      </c>
      <c r="L41" s="4">
        <f t="shared" si="29"/>
        <v>0</v>
      </c>
      <c r="M41" s="4">
        <f t="shared" si="30"/>
        <v>0</v>
      </c>
      <c r="N41" s="4">
        <f>ROUND(IF(C41="OLD",IF(OR(B41="2014-15",B41="2016-17"),IF(F41&lt;=10000000,0,MIN((L41-M41)*15%,MAX(0,(L41-M41)*0%+(F41-10000000)*(70%-30%*0%)))),IF(B41="2015-16",IF(F41&lt;=10000000,0,MIN((L41-M41)*12%,MAX(0,(L41-M41)*0%+(F41-10000000)*(70%-30%*0%)))),IF(OR(B41="2017-18",B41="2018-19"),IF(F41&lt;=5000000,0,IF(F41&lt;=10000000,MIN((L41-M41)*10%,MAX(0,(L41-M41)*0%+(F41-5000000)*(70%-30%*0%))),MIN((L41-M41)*15%,MAX(0,(L41-M41)*10%+(F41-10000000)*(70%-30%*10%))))),IF(F41&lt;=5000000,0,IF(F41&lt;=10000000,MIN((L41-M41)*10%,MAX(0,(L41-M41)*0%+(F41-5000000)*(70%-30%*0%))),IF(F41&lt;=20000000,MIN((L41-M41)*15%,MAX(0,(L41-M41)*10%+(F41-10000000)*(70%-30%*10%))),IF(F41&lt;=50000000,MIN((L41-M41)*25%,MAX(0,(L41-M41)*15%+(F41-20000000)*(70%-30%*15%))),MIN((L41-M41)*37%,MAX(0,(L41-M41)*25%+(F41-50000000)*(70%-30%*25%)))))))))),IF(OR(B41="2023-24",B41="2024-25",B41="2025-26"),IF(F41&lt;=5000000,0,IF(F41&lt;=10000000,MIN((L41-M41)*10%,MAX(0,(L41-M41)*0%+(F41-5000000)*(70%-30%*0%))),IF(F41&lt;=20000000,MIN((L41-M41)*15%,MAX(0,(L41-M41)*10%+(F41-10000000)*(70%-30%*10%))),MIN((L41-M41)*25%,MAX(0,(L41-M41)*15%+(F41-20000000)*(70%-30%*15%)))))),IF(F41&lt;=5000000,0,IF(F41&lt;=10000000,MIN((L41-M41)*10%,MAX(0,(L41-M41)*0%+(F41-5000000)*(70%-30%*0%))),IF(F41&lt;=20000000,MIN((L41-M41)*15%,MAX(0,(L41-M41)*10%+(F41-10000000)*(70%-30%*10%))),IF(F41&lt;=50000000,MIN((L41-M41)*25%,MAX(0,(L41-M41)*15%+(F41-20000000)*(70%-30%*15%))),MIN((L41-M41)*37%,MAX(0,(L41-M41)*25%+(F41-50000000)*(70%-30%*25%))))))))),2)</f>
        <v>0</v>
      </c>
      <c r="O41" s="4">
        <f t="shared" si="32"/>
        <v>0</v>
      </c>
      <c r="P41" s="4">
        <f t="shared" si="33"/>
        <v>0</v>
      </c>
      <c r="Q41" s="4">
        <f t="shared" si="34"/>
        <v>0</v>
      </c>
    </row>
    <row r="42" spans="1:17">
      <c r="A42" s="4">
        <f>14</f>
        <v>14</v>
      </c>
      <c r="B42" s="4" t="str">
        <f>Source_Data!A14</f>
        <v>2024-25</v>
      </c>
      <c r="C42" s="4" t="str">
        <f t="shared" si="23"/>
        <v>NEW</v>
      </c>
      <c r="D42" s="4" t="str">
        <f>Source_Data!F14</f>
        <v>Resident-Senior Citizen</v>
      </c>
      <c r="E42" s="4">
        <f>Source_Data!B14</f>
        <v>0</v>
      </c>
      <c r="F42" s="4">
        <f>Source_Data!D14</f>
        <v>0</v>
      </c>
      <c r="G42" s="4">
        <f t="shared" si="24"/>
        <v>0</v>
      </c>
      <c r="H42" s="4">
        <f t="shared" si="25"/>
        <v>0</v>
      </c>
      <c r="I42" s="4">
        <f>ROUND(IF(C42="OLD",IF(OR(B42="2014-15",B42="2016-17"),IF(E42&lt;=10000000,0,MIN((G42-H42)*15%,MAX(0,(G42-H42)*0%+(E42-10000000)*(70%-30%*0%)))),IF(B42="2015-16",IF(E42&lt;=10000000,0,MIN((G42-H42)*12%,MAX(0,(G42-H42)*0%+(E42-10000000)*(70%-30%*0%)))),IF(OR(B42="2017-18",B42="2018-19"),IF(E42&lt;=5000000,0,IF(E42&lt;=10000000,MIN((G42-H42)*10%,MAX(0,(G42-H42)*0%+(E42-5000000)*(70%-30%*0%))),MIN((G42-H42)*15%,MAX(0,(G42-H42)*10%+(E42-10000000)*(70%-30%*10%))))),IF(E42&lt;=5000000,0,IF(E42&lt;=10000000,MIN((G42-H42)*10%,MAX(0,(G42-H42)*0%+(E42-5000000)*(70%-30%*0%))),IF(E42&lt;=20000000,MIN((G42-H42)*15%,MAX(0,(G42-H42)*10%+(E42-10000000)*(70%-30%*10%))),IF(E42&lt;=50000000,MIN((G42-H42)*25%,MAX(0,(G42-H42)*15%+(E42-20000000)*(70%-30%*15%))),MIN((G42-H42)*37%,MAX(0,(G42-H42)*25%+(E42-50000000)*(70%-30%*25%)))))))))),IF(OR(B42="2023-24",B42="2024-25",B42="2025-26"),IF(E42&lt;=5000000,0,IF(E42&lt;=10000000,MIN((G42-H42)*10%,MAX(0,(G42-H42)*0%+(E42-5000000)*(70%-30%*0%))),IF(E42&lt;=20000000,MIN((G42-H42)*15%,MAX(0,(G42-H42)*10%+(E42-10000000)*(70%-30%*10%))),MIN((G42-H42)*25%,MAX(0,(G42-H42)*15%+(E42-20000000)*(70%-30%*15%)))))),IF(E42&lt;=5000000,0,IF(E42&lt;=10000000,MIN((G42-H42)*10%,MAX(0,(G42-H42)*0%+(E42-5000000)*(70%-30%*0%))),IF(E42&lt;=20000000,MIN((G42-H42)*15%,MAX(0,(G42-H42)*10%+(E42-10000000)*(70%-30%*10%))),IF(E42&lt;=50000000,MIN((G42-H42)*25%,MAX(0,(G42-H42)*15%+(E42-20000000)*(70%-30%*15%))),MIN((G42-H42)*37%,MAX(0,(G42-H42)*25%+(E42-50000000)*(70%-30%*25%))))))))),2)</f>
        <v>0</v>
      </c>
      <c r="J42" s="4">
        <f t="shared" si="27"/>
        <v>0</v>
      </c>
      <c r="K42" s="4">
        <f t="shared" si="28"/>
        <v>0</v>
      </c>
      <c r="L42" s="4">
        <f t="shared" si="29"/>
        <v>0</v>
      </c>
      <c r="M42" s="4">
        <f t="shared" si="30"/>
        <v>0</v>
      </c>
      <c r="N42" s="4">
        <f>ROUND(IF(C42="OLD",IF(OR(B42="2014-15",B42="2016-17"),IF(F42&lt;=10000000,0,MIN((L42-M42)*15%,MAX(0,(L42-M42)*0%+(F42-10000000)*(70%-30%*0%)))),IF(B42="2015-16",IF(F42&lt;=10000000,0,MIN((L42-M42)*12%,MAX(0,(L42-M42)*0%+(F42-10000000)*(70%-30%*0%)))),IF(OR(B42="2017-18",B42="2018-19"),IF(F42&lt;=5000000,0,IF(F42&lt;=10000000,MIN((L42-M42)*10%,MAX(0,(L42-M42)*0%+(F42-5000000)*(70%-30%*0%))),MIN((L42-M42)*15%,MAX(0,(L42-M42)*10%+(F42-10000000)*(70%-30%*10%))))),IF(F42&lt;=5000000,0,IF(F42&lt;=10000000,MIN((L42-M42)*10%,MAX(0,(L42-M42)*0%+(F42-5000000)*(70%-30%*0%))),IF(F42&lt;=20000000,MIN((L42-M42)*15%,MAX(0,(L42-M42)*10%+(F42-10000000)*(70%-30%*10%))),IF(F42&lt;=50000000,MIN((L42-M42)*25%,MAX(0,(L42-M42)*15%+(F42-20000000)*(70%-30%*15%))),MIN((L42-M42)*37%,MAX(0,(L42-M42)*25%+(F42-50000000)*(70%-30%*25%)))))))))),IF(OR(B42="2023-24",B42="2024-25",B42="2025-26"),IF(F42&lt;=5000000,0,IF(F42&lt;=10000000,MIN((L42-M42)*10%,MAX(0,(L42-M42)*0%+(F42-5000000)*(70%-30%*0%))),IF(F42&lt;=20000000,MIN((L42-M42)*15%,MAX(0,(L42-M42)*10%+(F42-10000000)*(70%-30%*10%))),MIN((L42-M42)*25%,MAX(0,(L42-M42)*15%+(F42-20000000)*(70%-30%*15%)))))),IF(F42&lt;=5000000,0,IF(F42&lt;=10000000,MIN((L42-M42)*10%,MAX(0,(L42-M42)*0%+(F42-5000000)*(70%-30%*0%))),IF(F42&lt;=20000000,MIN((L42-M42)*15%,MAX(0,(L42-M42)*10%+(F42-10000000)*(70%-30%*10%))),IF(F42&lt;=50000000,MIN((L42-M42)*25%,MAX(0,(L42-M42)*15%+(F42-20000000)*(70%-30%*15%))),MIN((L42-M42)*37%,MAX(0,(L42-M42)*25%+(F42-50000000)*(70%-30%*25%))))))))),2)</f>
        <v>0</v>
      </c>
      <c r="O42" s="4">
        <f t="shared" si="32"/>
        <v>0</v>
      </c>
      <c r="P42" s="4">
        <f t="shared" si="33"/>
        <v>0</v>
      </c>
      <c r="Q42" s="4">
        <f t="shared" si="34"/>
        <v>0</v>
      </c>
    </row>
    <row r="43" spans="1:17">
      <c r="A43" s="4">
        <f>15</f>
        <v>15</v>
      </c>
      <c r="B43" s="4" t="str">
        <f>Source_Data!A15</f>
        <v>2025-26</v>
      </c>
      <c r="C43" s="4" t="str">
        <f t="shared" si="23"/>
        <v>NEW</v>
      </c>
      <c r="D43" s="4" t="str">
        <f>Source_Data!F15</f>
        <v>Resident-Senior Citizen</v>
      </c>
      <c r="E43" s="4">
        <f>Source_Data!B15</f>
        <v>0</v>
      </c>
      <c r="F43" s="4">
        <f>Source_Data!D15</f>
        <v>0</v>
      </c>
      <c r="G43" s="4">
        <f t="shared" si="24"/>
        <v>0</v>
      </c>
      <c r="H43" s="4">
        <f t="shared" si="25"/>
        <v>0</v>
      </c>
      <c r="I43" s="4">
        <f>ROUND(IF(C43="OLD",IF(OR(B43="2014-15",B43="2016-17"),IF(E43&lt;=10000000,0,MIN((G43-H43)*15%,MAX(0,(G43-H43)*0%+(E43-10000000)*(70%-30%*0%)))),IF(B43="2015-16",IF(E43&lt;=10000000,0,MIN((G43-H43)*12%,MAX(0,(G43-H43)*0%+(E43-10000000)*(70%-30%*0%)))),IF(OR(B43="2017-18",B43="2018-19"),IF(E43&lt;=5000000,0,IF(E43&lt;=10000000,MIN((G43-H43)*10%,MAX(0,(G43-H43)*0%+(E43-5000000)*(70%-30%*0%))),MIN((G43-H43)*15%,MAX(0,(G43-H43)*10%+(E43-10000000)*(70%-30%*10%))))),IF(E43&lt;=5000000,0,IF(E43&lt;=10000000,MIN((G43-H43)*10%,MAX(0,(G43-H43)*0%+(E43-5000000)*(70%-30%*0%))),IF(E43&lt;=20000000,MIN((G43-H43)*15%,MAX(0,(G43-H43)*10%+(E43-10000000)*(70%-30%*10%))),IF(E43&lt;=50000000,MIN((G43-H43)*25%,MAX(0,(G43-H43)*15%+(E43-20000000)*(70%-30%*15%))),MIN((G43-H43)*37%,MAX(0,(G43-H43)*25%+(E43-50000000)*(70%-30%*25%)))))))))),IF(OR(B43="2023-24",B43="2024-25",B43="2025-26"),IF(E43&lt;=5000000,0,IF(E43&lt;=10000000,MIN((G43-H43)*10%,MAX(0,(G43-H43)*0%+(E43-5000000)*(70%-30%*0%))),IF(E43&lt;=20000000,MIN((G43-H43)*15%,MAX(0,(G43-H43)*10%+(E43-10000000)*(70%-30%*10%))),MIN((G43-H43)*25%,MAX(0,(G43-H43)*15%+(E43-20000000)*(70%-30%*15%)))))),IF(E43&lt;=5000000,0,IF(E43&lt;=10000000,MIN((G43-H43)*10%,MAX(0,(G43-H43)*0%+(E43-5000000)*(70%-30%*0%))),IF(E43&lt;=20000000,MIN((G43-H43)*15%,MAX(0,(G43-H43)*10%+(E43-10000000)*(70%-30%*10%))),IF(E43&lt;=50000000,MIN((G43-H43)*25%,MAX(0,(G43-H43)*15%+(E43-20000000)*(70%-30%*15%))),MIN((G43-H43)*37%,MAX(0,(G43-H43)*25%+(E43-50000000)*(70%-30%*25%))))))))),2)</f>
        <v>0</v>
      </c>
      <c r="J43" s="4">
        <f t="shared" si="27"/>
        <v>0</v>
      </c>
      <c r="K43" s="4">
        <f t="shared" si="28"/>
        <v>0</v>
      </c>
      <c r="L43" s="4">
        <f t="shared" si="29"/>
        <v>0</v>
      </c>
      <c r="M43" s="4">
        <f t="shared" si="30"/>
        <v>0</v>
      </c>
      <c r="N43" s="4">
        <f>ROUND(IF(C43="OLD",IF(OR(B43="2014-15",B43="2016-17"),IF(F43&lt;=10000000,0,MIN((L43-M43)*15%,MAX(0,(L43-M43)*0%+(F43-10000000)*(70%-30%*0%)))),IF(B43="2015-16",IF(F43&lt;=10000000,0,MIN((L43-M43)*12%,MAX(0,(L43-M43)*0%+(F43-10000000)*(70%-30%*0%)))),IF(OR(B43="2017-18",B43="2018-19"),IF(F43&lt;=5000000,0,IF(F43&lt;=10000000,MIN((L43-M43)*10%,MAX(0,(L43-M43)*0%+(F43-5000000)*(70%-30%*0%))),MIN((L43-M43)*15%,MAX(0,(L43-M43)*10%+(F43-10000000)*(70%-30%*10%))))),IF(F43&lt;=5000000,0,IF(F43&lt;=10000000,MIN((L43-M43)*10%,MAX(0,(L43-M43)*0%+(F43-5000000)*(70%-30%*0%))),IF(F43&lt;=20000000,MIN((L43-M43)*15%,MAX(0,(L43-M43)*10%+(F43-10000000)*(70%-30%*10%))),IF(F43&lt;=50000000,MIN((L43-M43)*25%,MAX(0,(L43-M43)*15%+(F43-20000000)*(70%-30%*15%))),MIN((L43-M43)*37%,MAX(0,(L43-M43)*25%+(F43-50000000)*(70%-30%*25%)))))))))),IF(OR(B43="2023-24",B43="2024-25",B43="2025-26"),IF(F43&lt;=5000000,0,IF(F43&lt;=10000000,MIN((L43-M43)*10%,MAX(0,(L43-M43)*0%+(F43-5000000)*(70%-30%*0%))),IF(F43&lt;=20000000,MIN((L43-M43)*15%,MAX(0,(L43-M43)*10%+(F43-10000000)*(70%-30%*10%))),MIN((L43-M43)*25%,MAX(0,(L43-M43)*15%+(F43-20000000)*(70%-30%*15%)))))),IF(F43&lt;=5000000,0,IF(F43&lt;=10000000,MIN((L43-M43)*10%,MAX(0,(L43-M43)*0%+(F43-5000000)*(70%-30%*0%))),IF(F43&lt;=20000000,MIN((L43-M43)*15%,MAX(0,(L43-M43)*10%+(F43-10000000)*(70%-30%*10%))),IF(F43&lt;=50000000,MIN((L43-M43)*25%,MAX(0,(L43-M43)*15%+(F43-20000000)*(70%-30%*15%))),MIN((L43-M43)*37%,MAX(0,(L43-M43)*25%+(F43-50000000)*(70%-30%*25%))))))))),2)</f>
        <v>0</v>
      </c>
      <c r="O43" s="4">
        <f t="shared" si="32"/>
        <v>0</v>
      </c>
      <c r="P43" s="4">
        <f t="shared" si="33"/>
        <v>0</v>
      </c>
      <c r="Q43" s="4">
        <f t="shared" si="34"/>
        <v>0</v>
      </c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</sheetData>
  <sheetProtection algorithmName="SHA-512" hashValue="gGUBTQoq3OSMYzCSG3SBASzYUIbJcp6bwgT3Wj8G21W9myDNFKzXmAS7kt5swlcOAU4OnbM4To+s8fjFJOLVgg==" saltValue="GJhRN+MBXgai+cuktJlOuQ==" spinCount="100000" sheet="1" objects="1" scenarios="1" selectLockedCells="1" selectUnlockedCells="1"/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5"/>
  <sheetViews>
    <sheetView workbookViewId="0">
      <selection activeCell="F11" sqref="F11"/>
    </sheetView>
  </sheetViews>
  <sheetFormatPr defaultRowHeight="14"/>
  <cols>
    <col min="1" max="17" width="15" customWidth="1"/>
  </cols>
  <sheetData>
    <row r="1" spans="1:17" ht="18">
      <c r="A1" s="129" t="s">
        <v>132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8">
      <c r="A3" s="3" t="s">
        <v>39</v>
      </c>
      <c r="B3" s="3" t="s">
        <v>133</v>
      </c>
      <c r="C3" s="3" t="s">
        <v>134</v>
      </c>
      <c r="D3" s="3" t="s">
        <v>135</v>
      </c>
      <c r="E3" s="3" t="s">
        <v>3</v>
      </c>
      <c r="F3" s="3" t="s">
        <v>136</v>
      </c>
      <c r="G3" s="3" t="s">
        <v>137</v>
      </c>
      <c r="H3" s="3" t="s">
        <v>138</v>
      </c>
      <c r="I3" s="3" t="s">
        <v>139</v>
      </c>
      <c r="J3" s="3" t="s">
        <v>140</v>
      </c>
      <c r="K3" s="3" t="s">
        <v>141</v>
      </c>
      <c r="L3" s="3" t="s">
        <v>142</v>
      </c>
      <c r="M3" s="3" t="s">
        <v>143</v>
      </c>
      <c r="N3" s="3" t="s">
        <v>144</v>
      </c>
      <c r="O3" s="3" t="s">
        <v>145</v>
      </c>
      <c r="P3" s="3" t="s">
        <v>146</v>
      </c>
      <c r="Q3" s="3" t="s">
        <v>147</v>
      </c>
    </row>
    <row r="4" spans="1:17">
      <c r="A4" s="4" t="str">
        <f>Source_Data!A4</f>
        <v>2014-15</v>
      </c>
      <c r="B4" s="4" t="str">
        <f>Source_Data!E4</f>
        <v>OLD</v>
      </c>
      <c r="C4" s="4" t="str">
        <f>Source_Data!F4</f>
        <v>Resident-Normal Citizen</v>
      </c>
      <c r="D4" s="4">
        <f>Source_Data!B4</f>
        <v>0</v>
      </c>
      <c r="E4" s="4">
        <f>Source_Data!C4</f>
        <v>0</v>
      </c>
      <c r="F4" s="4">
        <f>Source_Data!D4</f>
        <v>0</v>
      </c>
      <c r="G4" s="4">
        <f>Tax_Engine!K4</f>
        <v>0</v>
      </c>
      <c r="H4" s="4">
        <f>Tax_Engine!P4</f>
        <v>0</v>
      </c>
      <c r="I4" s="4">
        <f>Tax_Engine!Q4</f>
        <v>0</v>
      </c>
      <c r="J4" s="4">
        <f>Tax_Engine!K18</f>
        <v>0</v>
      </c>
      <c r="K4" s="4">
        <f>Tax_Engine!P18</f>
        <v>0</v>
      </c>
      <c r="L4" s="4">
        <f>Tax_Engine!Q18</f>
        <v>0</v>
      </c>
      <c r="M4" s="4" t="str">
        <f>IF(A4&lt;"2020-21","N/A",Tax_Engine!K32)</f>
        <v>N/A</v>
      </c>
      <c r="N4" s="4" t="str">
        <f>IF(A4&lt;"2020-21","N/A",Tax_Engine!P32)</f>
        <v>N/A</v>
      </c>
      <c r="O4" s="4" t="str">
        <f>IF(A4&lt;"2020-21","N/A",Tax_Engine!Q32)</f>
        <v>N/A</v>
      </c>
      <c r="P4" s="4" t="str">
        <f t="shared" ref="P4:P15" si="0">IF(O4="N/A","OLD only",IF(K4&lt;=N4,"OLD","NEW"))</f>
        <v>OLD only</v>
      </c>
      <c r="Q4" s="4" t="str">
        <f t="shared" ref="Q4:Q15" si="1">IF(A4&lt;"2020-21","New regime not applicable for this FY","")</f>
        <v>New regime not applicable for this FY</v>
      </c>
    </row>
    <row r="5" spans="1:17">
      <c r="A5" s="4" t="str">
        <f>Source_Data!A5</f>
        <v>2015-16</v>
      </c>
      <c r="B5" s="4" t="str">
        <f>Source_Data!E5</f>
        <v>OLD</v>
      </c>
      <c r="C5" s="4" t="str">
        <f>Source_Data!F5</f>
        <v>Resident-Normal Citizen</v>
      </c>
      <c r="D5" s="4">
        <f>Source_Data!B5</f>
        <v>0</v>
      </c>
      <c r="E5" s="4">
        <f>Source_Data!C5</f>
        <v>0</v>
      </c>
      <c r="F5" s="4">
        <f>Source_Data!D5</f>
        <v>0</v>
      </c>
      <c r="G5" s="4">
        <f>Tax_Engine!K5</f>
        <v>0</v>
      </c>
      <c r="H5" s="4">
        <f>Tax_Engine!P5</f>
        <v>0</v>
      </c>
      <c r="I5" s="4">
        <f>Tax_Engine!Q5</f>
        <v>0</v>
      </c>
      <c r="J5" s="4">
        <f>Tax_Engine!K19</f>
        <v>0</v>
      </c>
      <c r="K5" s="4">
        <f>Tax_Engine!P19</f>
        <v>0</v>
      </c>
      <c r="L5" s="4">
        <f>Tax_Engine!Q19</f>
        <v>0</v>
      </c>
      <c r="M5" s="4" t="str">
        <f>IF(A5&lt;"2020-21","N/A",Tax_Engine!K33)</f>
        <v>N/A</v>
      </c>
      <c r="N5" s="4" t="str">
        <f>IF(A5&lt;"2020-21","N/A",Tax_Engine!P33)</f>
        <v>N/A</v>
      </c>
      <c r="O5" s="4" t="str">
        <f>IF(A5&lt;"2020-21","N/A",Tax_Engine!Q33)</f>
        <v>N/A</v>
      </c>
      <c r="P5" s="4" t="str">
        <f t="shared" si="0"/>
        <v>OLD only</v>
      </c>
      <c r="Q5" s="4" t="str">
        <f t="shared" si="1"/>
        <v>New regime not applicable for this FY</v>
      </c>
    </row>
    <row r="6" spans="1:17">
      <c r="A6" s="4" t="str">
        <f>Source_Data!A6</f>
        <v>2016-17</v>
      </c>
      <c r="B6" s="4" t="str">
        <f>Source_Data!E6</f>
        <v>OLD</v>
      </c>
      <c r="C6" s="4" t="str">
        <f>Source_Data!F6</f>
        <v>Resident-Senior Citizen</v>
      </c>
      <c r="D6" s="4">
        <f>Source_Data!B6</f>
        <v>0</v>
      </c>
      <c r="E6" s="4">
        <f>Source_Data!C6</f>
        <v>0</v>
      </c>
      <c r="F6" s="4">
        <f>Source_Data!D6</f>
        <v>0</v>
      </c>
      <c r="G6" s="4">
        <f>Tax_Engine!K6</f>
        <v>0</v>
      </c>
      <c r="H6" s="4">
        <f>Tax_Engine!P6</f>
        <v>0</v>
      </c>
      <c r="I6" s="4">
        <f>Tax_Engine!Q6</f>
        <v>0</v>
      </c>
      <c r="J6" s="4">
        <f>Tax_Engine!K20</f>
        <v>0</v>
      </c>
      <c r="K6" s="4">
        <f>Tax_Engine!P20</f>
        <v>0</v>
      </c>
      <c r="L6" s="4">
        <f>Tax_Engine!Q20</f>
        <v>0</v>
      </c>
      <c r="M6" s="4" t="str">
        <f>IF(A6&lt;"2020-21","N/A",Tax_Engine!K34)</f>
        <v>N/A</v>
      </c>
      <c r="N6" s="4" t="str">
        <f>IF(A6&lt;"2020-21","N/A",Tax_Engine!P34)</f>
        <v>N/A</v>
      </c>
      <c r="O6" s="4" t="str">
        <f>IF(A6&lt;"2020-21","N/A",Tax_Engine!Q34)</f>
        <v>N/A</v>
      </c>
      <c r="P6" s="4" t="str">
        <f t="shared" si="0"/>
        <v>OLD only</v>
      </c>
      <c r="Q6" s="4" t="str">
        <f t="shared" si="1"/>
        <v>New regime not applicable for this FY</v>
      </c>
    </row>
    <row r="7" spans="1:17">
      <c r="A7" s="4" t="str">
        <f>Source_Data!A7</f>
        <v>2017-18</v>
      </c>
      <c r="B7" s="4" t="str">
        <f>Source_Data!E7</f>
        <v>OLD</v>
      </c>
      <c r="C7" s="4" t="str">
        <f>Source_Data!F7</f>
        <v>Resident-Senior Citizen</v>
      </c>
      <c r="D7" s="4">
        <f>Source_Data!B7</f>
        <v>0</v>
      </c>
      <c r="E7" s="4">
        <f>Source_Data!C7</f>
        <v>0</v>
      </c>
      <c r="F7" s="4">
        <f>Source_Data!D7</f>
        <v>0</v>
      </c>
      <c r="G7" s="4">
        <f>Tax_Engine!K7</f>
        <v>0</v>
      </c>
      <c r="H7" s="4">
        <f>Tax_Engine!P7</f>
        <v>0</v>
      </c>
      <c r="I7" s="4">
        <f>Tax_Engine!Q7</f>
        <v>0</v>
      </c>
      <c r="J7" s="4">
        <f>Tax_Engine!K21</f>
        <v>0</v>
      </c>
      <c r="K7" s="4">
        <f>Tax_Engine!P21</f>
        <v>0</v>
      </c>
      <c r="L7" s="4">
        <f>Tax_Engine!Q21</f>
        <v>0</v>
      </c>
      <c r="M7" s="4" t="str">
        <f>IF(A7&lt;"2020-21","N/A",Tax_Engine!K35)</f>
        <v>N/A</v>
      </c>
      <c r="N7" s="4" t="str">
        <f>IF(A7&lt;"2020-21","N/A",Tax_Engine!P35)</f>
        <v>N/A</v>
      </c>
      <c r="O7" s="4" t="str">
        <f>IF(A7&lt;"2020-21","N/A",Tax_Engine!Q35)</f>
        <v>N/A</v>
      </c>
      <c r="P7" s="4" t="str">
        <f t="shared" si="0"/>
        <v>OLD only</v>
      </c>
      <c r="Q7" s="4" t="str">
        <f t="shared" si="1"/>
        <v>New regime not applicable for this FY</v>
      </c>
    </row>
    <row r="8" spans="1:17">
      <c r="A8" s="4" t="str">
        <f>Source_Data!A8</f>
        <v>2018-19</v>
      </c>
      <c r="B8" s="4" t="str">
        <f>Source_Data!E8</f>
        <v>OLD</v>
      </c>
      <c r="C8" s="4" t="str">
        <f>Source_Data!F8</f>
        <v>Resident-Normal Citizen</v>
      </c>
      <c r="D8" s="4">
        <f>Source_Data!B8</f>
        <v>0</v>
      </c>
      <c r="E8" s="4">
        <f>Source_Data!C8</f>
        <v>0</v>
      </c>
      <c r="F8" s="4">
        <f>Source_Data!D8</f>
        <v>0</v>
      </c>
      <c r="G8" s="4">
        <f>Tax_Engine!K8</f>
        <v>0</v>
      </c>
      <c r="H8" s="4">
        <f>Tax_Engine!P8</f>
        <v>0</v>
      </c>
      <c r="I8" s="4">
        <f>Tax_Engine!Q8</f>
        <v>0</v>
      </c>
      <c r="J8" s="4">
        <f>Tax_Engine!K22</f>
        <v>0</v>
      </c>
      <c r="K8" s="4">
        <f>Tax_Engine!P22</f>
        <v>0</v>
      </c>
      <c r="L8" s="4">
        <f>Tax_Engine!Q22</f>
        <v>0</v>
      </c>
      <c r="M8" s="4" t="str">
        <f>IF(A8&lt;"2020-21","N/A",Tax_Engine!K36)</f>
        <v>N/A</v>
      </c>
      <c r="N8" s="4" t="str">
        <f>IF(A8&lt;"2020-21","N/A",Tax_Engine!P36)</f>
        <v>N/A</v>
      </c>
      <c r="O8" s="4" t="str">
        <f>IF(A8&lt;"2020-21","N/A",Tax_Engine!Q36)</f>
        <v>N/A</v>
      </c>
      <c r="P8" s="4" t="str">
        <f t="shared" si="0"/>
        <v>OLD only</v>
      </c>
      <c r="Q8" s="4" t="str">
        <f t="shared" si="1"/>
        <v>New regime not applicable for this FY</v>
      </c>
    </row>
    <row r="9" spans="1:17">
      <c r="A9" s="4" t="str">
        <f>Source_Data!A9</f>
        <v>2019-20</v>
      </c>
      <c r="B9" s="4" t="str">
        <f>Source_Data!E9</f>
        <v>OLD</v>
      </c>
      <c r="C9" s="4" t="str">
        <f>Source_Data!F9</f>
        <v>Resident-Normal Citizen</v>
      </c>
      <c r="D9" s="4">
        <f>Source_Data!B9</f>
        <v>0</v>
      </c>
      <c r="E9" s="4">
        <f>Source_Data!C9</f>
        <v>0</v>
      </c>
      <c r="F9" s="4">
        <f>Source_Data!D9</f>
        <v>0</v>
      </c>
      <c r="G9" s="4">
        <f>Tax_Engine!K9</f>
        <v>0</v>
      </c>
      <c r="H9" s="4">
        <f>Tax_Engine!P9</f>
        <v>0</v>
      </c>
      <c r="I9" s="4">
        <f>Tax_Engine!Q9</f>
        <v>0</v>
      </c>
      <c r="J9" s="4">
        <f>Tax_Engine!K23</f>
        <v>0</v>
      </c>
      <c r="K9" s="4">
        <f>Tax_Engine!P23</f>
        <v>0</v>
      </c>
      <c r="L9" s="4">
        <f>Tax_Engine!Q23</f>
        <v>0</v>
      </c>
      <c r="M9" s="4" t="str">
        <f>IF(A9&lt;"2020-21","N/A",Tax_Engine!K37)</f>
        <v>N/A</v>
      </c>
      <c r="N9" s="4" t="str">
        <f>IF(A9&lt;"2020-21","N/A",Tax_Engine!P37)</f>
        <v>N/A</v>
      </c>
      <c r="O9" s="4" t="str">
        <f>IF(A9&lt;"2020-21","N/A",Tax_Engine!Q37)</f>
        <v>N/A</v>
      </c>
      <c r="P9" s="4" t="str">
        <f t="shared" si="0"/>
        <v>OLD only</v>
      </c>
      <c r="Q9" s="4" t="str">
        <f t="shared" si="1"/>
        <v>New regime not applicable for this FY</v>
      </c>
    </row>
    <row r="10" spans="1:17">
      <c r="A10" s="4" t="str">
        <f>Source_Data!A10</f>
        <v>2020-21</v>
      </c>
      <c r="B10" s="4" t="str">
        <f>Source_Data!E10</f>
        <v>OLD</v>
      </c>
      <c r="C10" s="4" t="str">
        <f>Source_Data!F10</f>
        <v>Resident-Senior Citizen</v>
      </c>
      <c r="D10" s="4">
        <f>Source_Data!B10</f>
        <v>0</v>
      </c>
      <c r="E10" s="4">
        <f>Source_Data!C10</f>
        <v>0</v>
      </c>
      <c r="F10" s="4">
        <f>Source_Data!D10</f>
        <v>0</v>
      </c>
      <c r="G10" s="4">
        <f>Tax_Engine!K10</f>
        <v>0</v>
      </c>
      <c r="H10" s="4">
        <f>Tax_Engine!P10</f>
        <v>0</v>
      </c>
      <c r="I10" s="4">
        <f>Tax_Engine!Q10</f>
        <v>0</v>
      </c>
      <c r="J10" s="4">
        <f>Tax_Engine!K24</f>
        <v>0</v>
      </c>
      <c r="K10" s="4">
        <f>Tax_Engine!P24</f>
        <v>0</v>
      </c>
      <c r="L10" s="4">
        <f>Tax_Engine!Q24</f>
        <v>0</v>
      </c>
      <c r="M10" s="4">
        <f>IF(A10&lt;"2020-21","N/A",Tax_Engine!K38)</f>
        <v>0</v>
      </c>
      <c r="N10" s="4">
        <f>IF(A10&lt;"2020-21","N/A",Tax_Engine!P38)</f>
        <v>0</v>
      </c>
      <c r="O10" s="4">
        <f>IF(A10&lt;"2020-21","N/A",Tax_Engine!Q38)</f>
        <v>0</v>
      </c>
      <c r="P10" s="4" t="str">
        <f t="shared" si="0"/>
        <v>OLD</v>
      </c>
      <c r="Q10" s="4" t="str">
        <f t="shared" si="1"/>
        <v/>
      </c>
    </row>
    <row r="11" spans="1:17">
      <c r="A11" s="4" t="str">
        <f>Source_Data!A11</f>
        <v>2021-22</v>
      </c>
      <c r="B11" s="4" t="str">
        <f>Source_Data!E11</f>
        <v>OLD</v>
      </c>
      <c r="C11" s="4" t="str">
        <f>Source_Data!F11</f>
        <v>Resident-Senior Citizen</v>
      </c>
      <c r="D11" s="4">
        <f>Source_Data!B11</f>
        <v>0</v>
      </c>
      <c r="E11" s="4">
        <f>Source_Data!C11</f>
        <v>0</v>
      </c>
      <c r="F11" s="4">
        <f>Source_Data!D11</f>
        <v>0</v>
      </c>
      <c r="G11" s="4">
        <f>Tax_Engine!K11</f>
        <v>0</v>
      </c>
      <c r="H11" s="4">
        <f>Tax_Engine!P11</f>
        <v>0</v>
      </c>
      <c r="I11" s="4">
        <f>Tax_Engine!Q11</f>
        <v>0</v>
      </c>
      <c r="J11" s="4">
        <f>Tax_Engine!K25</f>
        <v>0</v>
      </c>
      <c r="K11" s="4">
        <f>Tax_Engine!P25</f>
        <v>0</v>
      </c>
      <c r="L11" s="4">
        <f>Tax_Engine!Q25</f>
        <v>0</v>
      </c>
      <c r="M11" s="4">
        <f>IF(A11&lt;"2020-21","N/A",Tax_Engine!K39)</f>
        <v>0</v>
      </c>
      <c r="N11" s="4">
        <f>IF(A11&lt;"2020-21","N/A",Tax_Engine!P39)</f>
        <v>0</v>
      </c>
      <c r="O11" s="4">
        <f>IF(A11&lt;"2020-21","N/A",Tax_Engine!Q39)</f>
        <v>0</v>
      </c>
      <c r="P11" s="4" t="str">
        <f t="shared" si="0"/>
        <v>OLD</v>
      </c>
      <c r="Q11" s="4" t="str">
        <f t="shared" si="1"/>
        <v/>
      </c>
    </row>
    <row r="12" spans="1:17">
      <c r="A12" s="4" t="str">
        <f>Source_Data!A12</f>
        <v>2022-23</v>
      </c>
      <c r="B12" s="4" t="str">
        <f>Source_Data!E12</f>
        <v>NEW</v>
      </c>
      <c r="C12" s="4" t="str">
        <f>Source_Data!F12</f>
        <v>Resident-Senior Citizen</v>
      </c>
      <c r="D12" s="4">
        <f>Source_Data!B12</f>
        <v>0</v>
      </c>
      <c r="E12" s="4">
        <f>Source_Data!C12</f>
        <v>0</v>
      </c>
      <c r="F12" s="4">
        <f>Source_Data!D12</f>
        <v>0</v>
      </c>
      <c r="G12" s="4">
        <f>Tax_Engine!K12</f>
        <v>0</v>
      </c>
      <c r="H12" s="4">
        <f>Tax_Engine!P12</f>
        <v>0</v>
      </c>
      <c r="I12" s="4">
        <f>Tax_Engine!Q12</f>
        <v>0</v>
      </c>
      <c r="J12" s="4">
        <f>Tax_Engine!K26</f>
        <v>0</v>
      </c>
      <c r="K12" s="4">
        <f>Tax_Engine!P26</f>
        <v>0</v>
      </c>
      <c r="L12" s="4">
        <f>Tax_Engine!Q26</f>
        <v>0</v>
      </c>
      <c r="M12" s="4">
        <f>IF(A12&lt;"2020-21","N/A",Tax_Engine!K40)</f>
        <v>0</v>
      </c>
      <c r="N12" s="4">
        <f>IF(A12&lt;"2020-21","N/A",Tax_Engine!P40)</f>
        <v>0</v>
      </c>
      <c r="O12" s="4">
        <f>IF(A12&lt;"2020-21","N/A",Tax_Engine!Q40)</f>
        <v>0</v>
      </c>
      <c r="P12" s="4" t="str">
        <f t="shared" si="0"/>
        <v>OLD</v>
      </c>
      <c r="Q12" s="4" t="str">
        <f t="shared" si="1"/>
        <v/>
      </c>
    </row>
    <row r="13" spans="1:17">
      <c r="A13" s="4" t="str">
        <f>Source_Data!A13</f>
        <v>2023-24</v>
      </c>
      <c r="B13" s="4" t="str">
        <f>Source_Data!E13</f>
        <v>NEW</v>
      </c>
      <c r="C13" s="4" t="str">
        <f>Source_Data!F13</f>
        <v>Resident-Senior Citizen</v>
      </c>
      <c r="D13" s="4">
        <f>Source_Data!B13</f>
        <v>0</v>
      </c>
      <c r="E13" s="4">
        <f>Source_Data!C13</f>
        <v>0</v>
      </c>
      <c r="F13" s="4">
        <f>Source_Data!D13</f>
        <v>0</v>
      </c>
      <c r="G13" s="4">
        <f>Tax_Engine!K13</f>
        <v>0</v>
      </c>
      <c r="H13" s="4">
        <f>Tax_Engine!P13</f>
        <v>0</v>
      </c>
      <c r="I13" s="4">
        <f>Tax_Engine!Q13</f>
        <v>0</v>
      </c>
      <c r="J13" s="4">
        <f>Tax_Engine!K27</f>
        <v>0</v>
      </c>
      <c r="K13" s="4">
        <f>Tax_Engine!P27</f>
        <v>0</v>
      </c>
      <c r="L13" s="4">
        <f>Tax_Engine!Q27</f>
        <v>0</v>
      </c>
      <c r="M13" s="4">
        <f>IF(A13&lt;"2020-21","N/A",Tax_Engine!K41)</f>
        <v>0</v>
      </c>
      <c r="N13" s="4">
        <f>IF(A13&lt;"2020-21","N/A",Tax_Engine!P41)</f>
        <v>0</v>
      </c>
      <c r="O13" s="4">
        <f>IF(A13&lt;"2020-21","N/A",Tax_Engine!Q41)</f>
        <v>0</v>
      </c>
      <c r="P13" s="4" t="str">
        <f t="shared" si="0"/>
        <v>OLD</v>
      </c>
      <c r="Q13" s="4" t="str">
        <f t="shared" si="1"/>
        <v/>
      </c>
    </row>
    <row r="14" spans="1:17">
      <c r="A14" s="4" t="str">
        <f>Source_Data!A14</f>
        <v>2024-25</v>
      </c>
      <c r="B14" s="4" t="str">
        <f>Source_Data!E14</f>
        <v>NEW</v>
      </c>
      <c r="C14" s="4" t="str">
        <f>Source_Data!F14</f>
        <v>Resident-Senior Citizen</v>
      </c>
      <c r="D14" s="4">
        <f>Source_Data!B14</f>
        <v>0</v>
      </c>
      <c r="E14" s="4">
        <f>Source_Data!C14</f>
        <v>0</v>
      </c>
      <c r="F14" s="4">
        <f>Source_Data!D14</f>
        <v>0</v>
      </c>
      <c r="G14" s="4">
        <f>Tax_Engine!K14</f>
        <v>0</v>
      </c>
      <c r="H14" s="4">
        <f>Tax_Engine!P14</f>
        <v>0</v>
      </c>
      <c r="I14" s="4">
        <f>Tax_Engine!Q14</f>
        <v>0</v>
      </c>
      <c r="J14" s="4">
        <f>Tax_Engine!K28</f>
        <v>0</v>
      </c>
      <c r="K14" s="4">
        <f>Tax_Engine!P28</f>
        <v>0</v>
      </c>
      <c r="L14" s="4">
        <f>Tax_Engine!Q28</f>
        <v>0</v>
      </c>
      <c r="M14" s="4">
        <f>IF(A14&lt;"2020-21","N/A",Tax_Engine!K42)</f>
        <v>0</v>
      </c>
      <c r="N14" s="4">
        <f>IF(A14&lt;"2020-21","N/A",Tax_Engine!P42)</f>
        <v>0</v>
      </c>
      <c r="O14" s="4">
        <f>IF(A14&lt;"2020-21","N/A",Tax_Engine!Q42)</f>
        <v>0</v>
      </c>
      <c r="P14" s="4" t="str">
        <f t="shared" si="0"/>
        <v>OLD</v>
      </c>
      <c r="Q14" s="4" t="str">
        <f t="shared" si="1"/>
        <v/>
      </c>
    </row>
    <row r="15" spans="1:17">
      <c r="A15" s="4" t="str">
        <f>Source_Data!A15</f>
        <v>2025-26</v>
      </c>
      <c r="B15" s="4" t="str">
        <f>Source_Data!E15</f>
        <v>NEW</v>
      </c>
      <c r="C15" s="4" t="str">
        <f>Source_Data!F15</f>
        <v>Resident-Senior Citizen</v>
      </c>
      <c r="D15" s="4">
        <f>Source_Data!B15</f>
        <v>0</v>
      </c>
      <c r="E15" s="4">
        <f>Source_Data!C15</f>
        <v>0</v>
      </c>
      <c r="F15" s="4">
        <f>Source_Data!D15</f>
        <v>0</v>
      </c>
      <c r="G15" s="4">
        <f>Tax_Engine!K15</f>
        <v>0</v>
      </c>
      <c r="H15" s="4">
        <f>Tax_Engine!P15</f>
        <v>0</v>
      </c>
      <c r="I15" s="4">
        <f>Tax_Engine!Q15</f>
        <v>0</v>
      </c>
      <c r="J15" s="4">
        <f>Tax_Engine!K29</f>
        <v>0</v>
      </c>
      <c r="K15" s="4">
        <f>Tax_Engine!P29</f>
        <v>0</v>
      </c>
      <c r="L15" s="4">
        <f>Tax_Engine!Q29</f>
        <v>0</v>
      </c>
      <c r="M15" s="4">
        <f>IF(A15&lt;"2020-21","N/A",Tax_Engine!K43)</f>
        <v>0</v>
      </c>
      <c r="N15" s="4">
        <f>IF(A15&lt;"2020-21","N/A",Tax_Engine!P43)</f>
        <v>0</v>
      </c>
      <c r="O15" s="4">
        <f>IF(A15&lt;"2020-21","N/A",Tax_Engine!Q43)</f>
        <v>0</v>
      </c>
      <c r="P15" s="4" t="str">
        <f t="shared" si="0"/>
        <v>OLD</v>
      </c>
      <c r="Q15" s="4" t="str">
        <f t="shared" si="1"/>
        <v/>
      </c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4" t="s">
        <v>148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4" t="s">
        <v>149</v>
      </c>
      <c r="B19" s="4" t="str">
        <f>Source_Data!E15</f>
        <v>NEW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4" t="s">
        <v>150</v>
      </c>
      <c r="B20" s="4" t="str">
        <f>Source_Data!F15</f>
        <v>Resident-Senior Citizen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4" t="s">
        <v>151</v>
      </c>
      <c r="B21" s="4">
        <f>Relief_Calculation!B22</f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4" t="s">
        <v>152</v>
      </c>
      <c r="B22" s="4">
        <f>Relief_Calculation!B23</f>
        <v>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4" t="s">
        <v>59</v>
      </c>
      <c r="B23" s="4">
        <f>Relief_Calculation!B24</f>
        <v>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>
      <c r="A26" s="132" t="s">
        <v>153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</row>
    <row r="27" spans="1:17">
      <c r="A27" s="132" t="s">
        <v>154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</row>
    <row r="28" spans="1:17">
      <c r="A28" s="132" t="s">
        <v>155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</row>
    <row r="29" spans="1:17">
      <c r="A29" s="132" t="s">
        <v>156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</sheetData>
  <sheetProtection algorithmName="SHA-512" hashValue="k2/3mAdwLwsM47taz4YxHgdVynZL9znJ9xsVSLKR2lTOiK0U2bZMYkKMrtA1oXj7AgfS2CVMYtWId2vKJPI2dw==" saltValue="GWq8e0d6uvA5BIPdiJbNAQ==" spinCount="100000" sheet="1" objects="1" scenarios="1" selectLockedCells="1" selectUnlockedCells="1"/>
  <mergeCells count="5">
    <mergeCell ref="A1:Q1"/>
    <mergeCell ref="A26:Q26"/>
    <mergeCell ref="A27:Q27"/>
    <mergeCell ref="A28:Q28"/>
    <mergeCell ref="A29:Q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Source_Data</vt:lpstr>
      <vt:lpstr>Relief_Calculation</vt:lpstr>
      <vt:lpstr>Form_10E</vt:lpstr>
      <vt:lpstr>Checks</vt:lpstr>
      <vt:lpstr>Tax_Rate_Assumptions</vt:lpstr>
      <vt:lpstr>Tax_Engine</vt:lpstr>
      <vt:lpstr>Tax_Regime_Comparison</vt:lpstr>
      <vt:lpstr>Form_10E!Print_Area</vt:lpstr>
      <vt:lpstr>Relief_Calculation!Print_Area</vt:lpstr>
      <vt:lpstr>Source_Data!Print_Area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 HANUMANTHACHAR</cp:lastModifiedBy>
  <cp:lastPrinted>2026-06-30T03:39:30Z</cp:lastPrinted>
  <dcterms:created xsi:type="dcterms:W3CDTF">2026-06-28T05:09:00Z</dcterms:created>
  <dcterms:modified xsi:type="dcterms:W3CDTF">2026-07-20T01:38:36Z</dcterms:modified>
</cp:coreProperties>
</file>